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geevaa\Downloads\"/>
    </mc:Choice>
  </mc:AlternateContent>
  <xr:revisionPtr revIDLastSave="0" documentId="13_ncr:1_{EE405E83-80C7-4BC5-97B6-C0FB11ADF8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оротко" sheetId="1" r:id="rId1"/>
    <sheet name="Подразделения" sheetId="2" r:id="rId2"/>
    <sheet name="Главные изменения" sheetId="3" r:id="rId3"/>
    <sheet name="Все услуги" sheetId="5" r:id="rId4"/>
    <sheet name="По врачам" sheetId="6" r:id="rId5"/>
    <sheet name="Планетная" sheetId="7" r:id="rId6"/>
  </sheets>
  <calcPr calcId="191029"/>
</workbook>
</file>

<file path=xl/calcChain.xml><?xml version="1.0" encoding="utf-8"?>
<calcChain xmlns="http://schemas.openxmlformats.org/spreadsheetml/2006/main">
  <c r="J28" i="7" l="1"/>
  <c r="I28" i="7"/>
  <c r="H28" i="7"/>
  <c r="D28" i="7"/>
  <c r="E28" i="7" s="1"/>
  <c r="J27" i="7"/>
  <c r="I27" i="7"/>
  <c r="H27" i="7"/>
  <c r="D27" i="7"/>
  <c r="E27" i="7" s="1"/>
  <c r="J26" i="7"/>
  <c r="I26" i="7"/>
  <c r="H26" i="7"/>
  <c r="E26" i="7"/>
  <c r="D26" i="7"/>
  <c r="J25" i="7"/>
  <c r="I25" i="7"/>
  <c r="H25" i="7"/>
  <c r="D25" i="7"/>
  <c r="E25" i="7" s="1"/>
  <c r="J24" i="7"/>
  <c r="I24" i="7"/>
  <c r="H24" i="7"/>
  <c r="D24" i="7"/>
  <c r="E24" i="7" s="1"/>
  <c r="J23" i="7"/>
  <c r="I23" i="7"/>
  <c r="H23" i="7"/>
  <c r="D23" i="7"/>
  <c r="E23" i="7" s="1"/>
  <c r="J22" i="7"/>
  <c r="I22" i="7"/>
  <c r="H22" i="7"/>
  <c r="D22" i="7"/>
  <c r="E22" i="7" s="1"/>
  <c r="D8" i="7"/>
  <c r="E8" i="7" s="1"/>
  <c r="D7" i="7"/>
  <c r="E7" i="7" s="1"/>
  <c r="D6" i="7"/>
  <c r="E6" i="7" s="1"/>
  <c r="K196" i="6"/>
  <c r="J196" i="6"/>
  <c r="I196" i="6"/>
  <c r="E196" i="6"/>
  <c r="F196" i="6" s="1"/>
  <c r="L195" i="6"/>
  <c r="K195" i="6"/>
  <c r="J195" i="6"/>
  <c r="I195" i="6"/>
  <c r="F195" i="6"/>
  <c r="E195" i="6"/>
  <c r="K194" i="6"/>
  <c r="J194" i="6"/>
  <c r="L194" i="6" s="1"/>
  <c r="I194" i="6"/>
  <c r="F194" i="6"/>
  <c r="E194" i="6"/>
  <c r="K193" i="6"/>
  <c r="J193" i="6"/>
  <c r="I193" i="6"/>
  <c r="E193" i="6"/>
  <c r="F193" i="6" s="1"/>
  <c r="K192" i="6"/>
  <c r="J192" i="6"/>
  <c r="I192" i="6"/>
  <c r="E192" i="6"/>
  <c r="F192" i="6" s="1"/>
  <c r="L191" i="6"/>
  <c r="K191" i="6"/>
  <c r="J191" i="6"/>
  <c r="I191" i="6"/>
  <c r="F191" i="6"/>
  <c r="E191" i="6"/>
  <c r="K190" i="6"/>
  <c r="J190" i="6"/>
  <c r="I190" i="6"/>
  <c r="E190" i="6"/>
  <c r="F190" i="6" s="1"/>
  <c r="K189" i="6"/>
  <c r="J189" i="6"/>
  <c r="I189" i="6"/>
  <c r="F189" i="6"/>
  <c r="E189" i="6"/>
  <c r="K188" i="6"/>
  <c r="J188" i="6"/>
  <c r="I188" i="6"/>
  <c r="E188" i="6"/>
  <c r="F188" i="6" s="1"/>
  <c r="K187" i="6"/>
  <c r="J187" i="6"/>
  <c r="I187" i="6"/>
  <c r="E187" i="6"/>
  <c r="F187" i="6" s="1"/>
  <c r="K186" i="6"/>
  <c r="J186" i="6"/>
  <c r="I186" i="6"/>
  <c r="E186" i="6"/>
  <c r="F186" i="6" s="1"/>
  <c r="L185" i="6"/>
  <c r="K185" i="6"/>
  <c r="J185" i="6"/>
  <c r="I185" i="6"/>
  <c r="F185" i="6"/>
  <c r="E185" i="6"/>
  <c r="K184" i="6"/>
  <c r="J184" i="6"/>
  <c r="L184" i="6" s="1"/>
  <c r="I184" i="6"/>
  <c r="E184" i="6"/>
  <c r="F184" i="6" s="1"/>
  <c r="K183" i="6"/>
  <c r="J183" i="6"/>
  <c r="L183" i="6" s="1"/>
  <c r="I183" i="6"/>
  <c r="E183" i="6"/>
  <c r="F183" i="6" s="1"/>
  <c r="K182" i="6"/>
  <c r="J182" i="6"/>
  <c r="I182" i="6"/>
  <c r="E182" i="6"/>
  <c r="F182" i="6" s="1"/>
  <c r="K181" i="6"/>
  <c r="J181" i="6"/>
  <c r="L181" i="6" s="1"/>
  <c r="I181" i="6"/>
  <c r="E181" i="6"/>
  <c r="F181" i="6" s="1"/>
  <c r="K180" i="6"/>
  <c r="J180" i="6"/>
  <c r="I180" i="6"/>
  <c r="E180" i="6"/>
  <c r="F180" i="6" s="1"/>
  <c r="K179" i="6"/>
  <c r="J179" i="6"/>
  <c r="I179" i="6"/>
  <c r="F179" i="6"/>
  <c r="E179" i="6"/>
  <c r="K178" i="6"/>
  <c r="J178" i="6"/>
  <c r="I178" i="6"/>
  <c r="E178" i="6"/>
  <c r="F178" i="6" s="1"/>
  <c r="L177" i="6"/>
  <c r="K177" i="6"/>
  <c r="J177" i="6"/>
  <c r="I177" i="6"/>
  <c r="F177" i="6"/>
  <c r="E177" i="6"/>
  <c r="K176" i="6"/>
  <c r="J176" i="6"/>
  <c r="L176" i="6" s="1"/>
  <c r="I176" i="6"/>
  <c r="E176" i="6"/>
  <c r="F176" i="6" s="1"/>
  <c r="K175" i="6"/>
  <c r="J175" i="6"/>
  <c r="I175" i="6"/>
  <c r="E175" i="6"/>
  <c r="F175" i="6" s="1"/>
  <c r="K174" i="6"/>
  <c r="J174" i="6"/>
  <c r="I174" i="6"/>
  <c r="E174" i="6"/>
  <c r="F174" i="6" s="1"/>
  <c r="L173" i="6"/>
  <c r="K173" i="6"/>
  <c r="J173" i="6"/>
  <c r="I173" i="6"/>
  <c r="F173" i="6"/>
  <c r="E173" i="6"/>
  <c r="K172" i="6"/>
  <c r="J172" i="6"/>
  <c r="L172" i="6" s="1"/>
  <c r="I172" i="6"/>
  <c r="F172" i="6"/>
  <c r="E172" i="6"/>
  <c r="K171" i="6"/>
  <c r="J171" i="6"/>
  <c r="L171" i="6" s="1"/>
  <c r="I171" i="6"/>
  <c r="E171" i="6"/>
  <c r="F171" i="6" s="1"/>
  <c r="K170" i="6"/>
  <c r="J170" i="6"/>
  <c r="I170" i="6"/>
  <c r="F170" i="6"/>
  <c r="E170" i="6"/>
  <c r="K169" i="6"/>
  <c r="J169" i="6"/>
  <c r="I169" i="6"/>
  <c r="E169" i="6"/>
  <c r="F169" i="6" s="1"/>
  <c r="K168" i="6"/>
  <c r="J168" i="6"/>
  <c r="I168" i="6"/>
  <c r="F168" i="6"/>
  <c r="E168" i="6"/>
  <c r="K167" i="6"/>
  <c r="J167" i="6"/>
  <c r="I167" i="6"/>
  <c r="E167" i="6"/>
  <c r="F167" i="6" s="1"/>
  <c r="K166" i="6"/>
  <c r="J166" i="6"/>
  <c r="L166" i="6" s="1"/>
  <c r="I166" i="6"/>
  <c r="E166" i="6"/>
  <c r="F166" i="6" s="1"/>
  <c r="K165" i="6"/>
  <c r="J165" i="6"/>
  <c r="I165" i="6"/>
  <c r="E165" i="6"/>
  <c r="F165" i="6" s="1"/>
  <c r="K164" i="6"/>
  <c r="J164" i="6"/>
  <c r="L164" i="6" s="1"/>
  <c r="I164" i="6"/>
  <c r="E164" i="6"/>
  <c r="F164" i="6" s="1"/>
  <c r="K163" i="6"/>
  <c r="J163" i="6"/>
  <c r="I163" i="6"/>
  <c r="E163" i="6"/>
  <c r="F163" i="6" s="1"/>
  <c r="K162" i="6"/>
  <c r="J162" i="6"/>
  <c r="L162" i="6" s="1"/>
  <c r="I162" i="6"/>
  <c r="E162" i="6"/>
  <c r="F162" i="6" s="1"/>
  <c r="K161" i="6"/>
  <c r="J161" i="6"/>
  <c r="I161" i="6"/>
  <c r="E161" i="6"/>
  <c r="F161" i="6" s="1"/>
  <c r="K160" i="6"/>
  <c r="J160" i="6"/>
  <c r="L160" i="6" s="1"/>
  <c r="I160" i="6"/>
  <c r="E160" i="6"/>
  <c r="F160" i="6" s="1"/>
  <c r="K159" i="6"/>
  <c r="J159" i="6"/>
  <c r="I159" i="6"/>
  <c r="E159" i="6"/>
  <c r="F159" i="6" s="1"/>
  <c r="K158" i="6"/>
  <c r="J158" i="6"/>
  <c r="L158" i="6" s="1"/>
  <c r="I158" i="6"/>
  <c r="F158" i="6"/>
  <c r="E158" i="6"/>
  <c r="K157" i="6"/>
  <c r="J157" i="6"/>
  <c r="I157" i="6"/>
  <c r="E157" i="6"/>
  <c r="F157" i="6" s="1"/>
  <c r="K156" i="6"/>
  <c r="J156" i="6"/>
  <c r="I156" i="6"/>
  <c r="E156" i="6"/>
  <c r="F156" i="6" s="1"/>
  <c r="K155" i="6"/>
  <c r="J155" i="6"/>
  <c r="I155" i="6"/>
  <c r="E155" i="6"/>
  <c r="F155" i="6" s="1"/>
  <c r="K154" i="6"/>
  <c r="J154" i="6"/>
  <c r="I154" i="6"/>
  <c r="F154" i="6"/>
  <c r="E154" i="6"/>
  <c r="K153" i="6"/>
  <c r="J153" i="6"/>
  <c r="I153" i="6"/>
  <c r="E153" i="6"/>
  <c r="F153" i="6" s="1"/>
  <c r="K152" i="6"/>
  <c r="J152" i="6"/>
  <c r="I152" i="6"/>
  <c r="F152" i="6"/>
  <c r="E152" i="6"/>
  <c r="K151" i="6"/>
  <c r="J151" i="6"/>
  <c r="I151" i="6"/>
  <c r="E151" i="6"/>
  <c r="F151" i="6" s="1"/>
  <c r="K150" i="6"/>
  <c r="J150" i="6"/>
  <c r="L150" i="6" s="1"/>
  <c r="I150" i="6"/>
  <c r="E150" i="6"/>
  <c r="F150" i="6" s="1"/>
  <c r="K149" i="6"/>
  <c r="J149" i="6"/>
  <c r="I149" i="6"/>
  <c r="E149" i="6"/>
  <c r="F149" i="6" s="1"/>
  <c r="K148" i="6"/>
  <c r="J148" i="6"/>
  <c r="L148" i="6" s="1"/>
  <c r="I148" i="6"/>
  <c r="F148" i="6"/>
  <c r="E148" i="6"/>
  <c r="K147" i="6"/>
  <c r="J147" i="6"/>
  <c r="I147" i="6"/>
  <c r="E147" i="6"/>
  <c r="F147" i="6" s="1"/>
  <c r="K146" i="6"/>
  <c r="J146" i="6"/>
  <c r="I146" i="6"/>
  <c r="E146" i="6"/>
  <c r="F146" i="6" s="1"/>
  <c r="K145" i="6"/>
  <c r="J145" i="6"/>
  <c r="I145" i="6"/>
  <c r="F145" i="6"/>
  <c r="E145" i="6"/>
  <c r="K144" i="6"/>
  <c r="J144" i="6"/>
  <c r="I144" i="6"/>
  <c r="E144" i="6"/>
  <c r="F144" i="6" s="1"/>
  <c r="K143" i="6"/>
  <c r="J143" i="6"/>
  <c r="L143" i="6" s="1"/>
  <c r="I143" i="6"/>
  <c r="F143" i="6"/>
  <c r="E143" i="6"/>
  <c r="K142" i="6"/>
  <c r="J142" i="6"/>
  <c r="I142" i="6"/>
  <c r="E142" i="6"/>
  <c r="F142" i="6" s="1"/>
  <c r="K141" i="6"/>
  <c r="J141" i="6"/>
  <c r="I141" i="6"/>
  <c r="E141" i="6"/>
  <c r="F141" i="6" s="1"/>
  <c r="K140" i="6"/>
  <c r="J140" i="6"/>
  <c r="I140" i="6"/>
  <c r="E140" i="6"/>
  <c r="F140" i="6" s="1"/>
  <c r="K139" i="6"/>
  <c r="L139" i="6" s="1"/>
  <c r="J139" i="6"/>
  <c r="I139" i="6"/>
  <c r="E139" i="6"/>
  <c r="F139" i="6" s="1"/>
  <c r="K138" i="6"/>
  <c r="J138" i="6"/>
  <c r="I138" i="6"/>
  <c r="E138" i="6"/>
  <c r="F138" i="6" s="1"/>
  <c r="K137" i="6"/>
  <c r="L137" i="6" s="1"/>
  <c r="J137" i="6"/>
  <c r="I137" i="6"/>
  <c r="E137" i="6"/>
  <c r="F137" i="6" s="1"/>
  <c r="K136" i="6"/>
  <c r="J136" i="6"/>
  <c r="I136" i="6"/>
  <c r="E136" i="6"/>
  <c r="F136" i="6" s="1"/>
  <c r="K135" i="6"/>
  <c r="L135" i="6" s="1"/>
  <c r="J135" i="6"/>
  <c r="I135" i="6"/>
  <c r="F135" i="6"/>
  <c r="E135" i="6"/>
  <c r="K134" i="6"/>
  <c r="J134" i="6"/>
  <c r="I134" i="6"/>
  <c r="E134" i="6"/>
  <c r="F134" i="6" s="1"/>
  <c r="K133" i="6"/>
  <c r="J133" i="6"/>
  <c r="I133" i="6"/>
  <c r="E133" i="6"/>
  <c r="F133" i="6" s="1"/>
  <c r="K132" i="6"/>
  <c r="J132" i="6"/>
  <c r="I132" i="6"/>
  <c r="E132" i="6"/>
  <c r="F132" i="6" s="1"/>
  <c r="K131" i="6"/>
  <c r="J131" i="6"/>
  <c r="I131" i="6"/>
  <c r="E131" i="6"/>
  <c r="F131" i="6" s="1"/>
  <c r="K130" i="6"/>
  <c r="J130" i="6"/>
  <c r="I130" i="6"/>
  <c r="F130" i="6"/>
  <c r="E130" i="6"/>
  <c r="K129" i="6"/>
  <c r="J129" i="6"/>
  <c r="I129" i="6"/>
  <c r="E129" i="6"/>
  <c r="F129" i="6" s="1"/>
  <c r="K128" i="6"/>
  <c r="J128" i="6"/>
  <c r="I128" i="6"/>
  <c r="E128" i="6"/>
  <c r="F128" i="6" s="1"/>
  <c r="K127" i="6"/>
  <c r="J127" i="6"/>
  <c r="L127" i="6" s="1"/>
  <c r="I127" i="6"/>
  <c r="F127" i="6"/>
  <c r="E127" i="6"/>
  <c r="K126" i="6"/>
  <c r="J126" i="6"/>
  <c r="I126" i="6"/>
  <c r="E126" i="6"/>
  <c r="F126" i="6" s="1"/>
  <c r="K125" i="6"/>
  <c r="J125" i="6"/>
  <c r="I125" i="6"/>
  <c r="E125" i="6"/>
  <c r="F125" i="6" s="1"/>
  <c r="K124" i="6"/>
  <c r="J124" i="6"/>
  <c r="I124" i="6"/>
  <c r="E124" i="6"/>
  <c r="F124" i="6" s="1"/>
  <c r="L123" i="6"/>
  <c r="K123" i="6"/>
  <c r="J123" i="6"/>
  <c r="I123" i="6"/>
  <c r="F123" i="6"/>
  <c r="E123" i="6"/>
  <c r="K122" i="6"/>
  <c r="J122" i="6"/>
  <c r="I122" i="6"/>
  <c r="E122" i="6"/>
  <c r="F122" i="6" s="1"/>
  <c r="K121" i="6"/>
  <c r="J121" i="6"/>
  <c r="I121" i="6"/>
  <c r="E121" i="6"/>
  <c r="F121" i="6" s="1"/>
  <c r="K120" i="6"/>
  <c r="J120" i="6"/>
  <c r="I120" i="6"/>
  <c r="F120" i="6"/>
  <c r="E120" i="6"/>
  <c r="K119" i="6"/>
  <c r="J119" i="6"/>
  <c r="L119" i="6" s="1"/>
  <c r="I119" i="6"/>
  <c r="E119" i="6"/>
  <c r="F119" i="6" s="1"/>
  <c r="K118" i="6"/>
  <c r="J118" i="6"/>
  <c r="I118" i="6"/>
  <c r="E118" i="6"/>
  <c r="F118" i="6" s="1"/>
  <c r="L117" i="6"/>
  <c r="K117" i="6"/>
  <c r="J117" i="6"/>
  <c r="I117" i="6"/>
  <c r="F117" i="6"/>
  <c r="E117" i="6"/>
  <c r="K116" i="6"/>
  <c r="J116" i="6"/>
  <c r="L116" i="6" s="1"/>
  <c r="I116" i="6"/>
  <c r="F116" i="6"/>
  <c r="E116" i="6"/>
  <c r="K115" i="6"/>
  <c r="J115" i="6"/>
  <c r="L115" i="6" s="1"/>
  <c r="I115" i="6"/>
  <c r="E115" i="6"/>
  <c r="F115" i="6" s="1"/>
  <c r="K114" i="6"/>
  <c r="J114" i="6"/>
  <c r="I114" i="6"/>
  <c r="F114" i="6"/>
  <c r="E114" i="6"/>
  <c r="K113" i="6"/>
  <c r="J113" i="6"/>
  <c r="I113" i="6"/>
  <c r="E113" i="6"/>
  <c r="F113" i="6" s="1"/>
  <c r="K112" i="6"/>
  <c r="J112" i="6"/>
  <c r="I112" i="6"/>
  <c r="F112" i="6"/>
  <c r="E112" i="6"/>
  <c r="K111" i="6"/>
  <c r="J111" i="6"/>
  <c r="L111" i="6" s="1"/>
  <c r="I111" i="6"/>
  <c r="E111" i="6"/>
  <c r="F111" i="6" s="1"/>
  <c r="K110" i="6"/>
  <c r="J110" i="6"/>
  <c r="I110" i="6"/>
  <c r="E110" i="6"/>
  <c r="F110" i="6" s="1"/>
  <c r="L109" i="6"/>
  <c r="K109" i="6"/>
  <c r="J109" i="6"/>
  <c r="I109" i="6"/>
  <c r="F109" i="6"/>
  <c r="E109" i="6"/>
  <c r="K108" i="6"/>
  <c r="J108" i="6"/>
  <c r="L108" i="6" s="1"/>
  <c r="I108" i="6"/>
  <c r="F108" i="6"/>
  <c r="E108" i="6"/>
  <c r="K107" i="6"/>
  <c r="J107" i="6"/>
  <c r="L107" i="6" s="1"/>
  <c r="I107" i="6"/>
  <c r="E107" i="6"/>
  <c r="F107" i="6" s="1"/>
  <c r="K106" i="6"/>
  <c r="J106" i="6"/>
  <c r="I106" i="6"/>
  <c r="F106" i="6"/>
  <c r="E106" i="6"/>
  <c r="K105" i="6"/>
  <c r="J105" i="6"/>
  <c r="I105" i="6"/>
  <c r="E105" i="6"/>
  <c r="F105" i="6" s="1"/>
  <c r="K104" i="6"/>
  <c r="J104" i="6"/>
  <c r="I104" i="6"/>
  <c r="F104" i="6"/>
  <c r="E104" i="6"/>
  <c r="K103" i="6"/>
  <c r="J103" i="6"/>
  <c r="L103" i="6" s="1"/>
  <c r="I103" i="6"/>
  <c r="E103" i="6"/>
  <c r="F103" i="6" s="1"/>
  <c r="K102" i="6"/>
  <c r="J102" i="6"/>
  <c r="I102" i="6"/>
  <c r="E102" i="6"/>
  <c r="F102" i="6" s="1"/>
  <c r="L101" i="6"/>
  <c r="K101" i="6"/>
  <c r="J101" i="6"/>
  <c r="I101" i="6"/>
  <c r="F101" i="6"/>
  <c r="E101" i="6"/>
  <c r="K100" i="6"/>
  <c r="J100" i="6"/>
  <c r="L100" i="6" s="1"/>
  <c r="I100" i="6"/>
  <c r="E100" i="6"/>
  <c r="F100" i="6" s="1"/>
  <c r="K99" i="6"/>
  <c r="J99" i="6"/>
  <c r="L99" i="6" s="1"/>
  <c r="I99" i="6"/>
  <c r="E99" i="6"/>
  <c r="F99" i="6" s="1"/>
  <c r="K98" i="6"/>
  <c r="J98" i="6"/>
  <c r="I98" i="6"/>
  <c r="E98" i="6"/>
  <c r="F98" i="6" s="1"/>
  <c r="K97" i="6"/>
  <c r="J97" i="6"/>
  <c r="I97" i="6"/>
  <c r="E97" i="6"/>
  <c r="F97" i="6" s="1"/>
  <c r="K96" i="6"/>
  <c r="J96" i="6"/>
  <c r="I96" i="6"/>
  <c r="F96" i="6"/>
  <c r="E96" i="6"/>
  <c r="K95" i="6"/>
  <c r="J95" i="6"/>
  <c r="L95" i="6" s="1"/>
  <c r="I95" i="6"/>
  <c r="E95" i="6"/>
  <c r="F95" i="6" s="1"/>
  <c r="K94" i="6"/>
  <c r="J94" i="6"/>
  <c r="I94" i="6"/>
  <c r="E94" i="6"/>
  <c r="F94" i="6" s="1"/>
  <c r="K93" i="6"/>
  <c r="J93" i="6"/>
  <c r="L93" i="6" s="1"/>
  <c r="I93" i="6"/>
  <c r="E93" i="6"/>
  <c r="F93" i="6" s="1"/>
  <c r="K92" i="6"/>
  <c r="J92" i="6"/>
  <c r="I92" i="6"/>
  <c r="F92" i="6"/>
  <c r="E92" i="6"/>
  <c r="L91" i="6"/>
  <c r="K91" i="6"/>
  <c r="J91" i="6"/>
  <c r="I91" i="6"/>
  <c r="F91" i="6"/>
  <c r="E91" i="6"/>
  <c r="K90" i="6"/>
  <c r="J90" i="6"/>
  <c r="L90" i="6" s="1"/>
  <c r="I90" i="6"/>
  <c r="E90" i="6"/>
  <c r="F90" i="6" s="1"/>
  <c r="K89" i="6"/>
  <c r="J89" i="6"/>
  <c r="I89" i="6"/>
  <c r="E89" i="6"/>
  <c r="F89" i="6" s="1"/>
  <c r="K88" i="6"/>
  <c r="J88" i="6"/>
  <c r="I88" i="6"/>
  <c r="E88" i="6"/>
  <c r="F88" i="6" s="1"/>
  <c r="K87" i="6"/>
  <c r="J87" i="6"/>
  <c r="I87" i="6"/>
  <c r="E87" i="6"/>
  <c r="F87" i="6" s="1"/>
  <c r="K86" i="6"/>
  <c r="J86" i="6"/>
  <c r="I86" i="6"/>
  <c r="E86" i="6"/>
  <c r="F86" i="6" s="1"/>
  <c r="K85" i="6"/>
  <c r="L85" i="6" s="1"/>
  <c r="J85" i="6"/>
  <c r="I85" i="6"/>
  <c r="E85" i="6"/>
  <c r="F85" i="6" s="1"/>
  <c r="K84" i="6"/>
  <c r="J84" i="6"/>
  <c r="L84" i="6" s="1"/>
  <c r="I84" i="6"/>
  <c r="E84" i="6"/>
  <c r="F84" i="6" s="1"/>
  <c r="K83" i="6"/>
  <c r="J83" i="6"/>
  <c r="L83" i="6" s="1"/>
  <c r="I83" i="6"/>
  <c r="E83" i="6"/>
  <c r="F83" i="6" s="1"/>
  <c r="K82" i="6"/>
  <c r="J82" i="6"/>
  <c r="L82" i="6" s="1"/>
  <c r="I82" i="6"/>
  <c r="F82" i="6"/>
  <c r="E82" i="6"/>
  <c r="K81" i="6"/>
  <c r="J81" i="6"/>
  <c r="I81" i="6"/>
  <c r="E81" i="6"/>
  <c r="F81" i="6" s="1"/>
  <c r="K80" i="6"/>
  <c r="J80" i="6"/>
  <c r="I80" i="6"/>
  <c r="E80" i="6"/>
  <c r="F80" i="6" s="1"/>
  <c r="K79" i="6"/>
  <c r="J79" i="6"/>
  <c r="L79" i="6" s="1"/>
  <c r="I79" i="6"/>
  <c r="E79" i="6"/>
  <c r="F79" i="6" s="1"/>
  <c r="K78" i="6"/>
  <c r="J78" i="6"/>
  <c r="I78" i="6"/>
  <c r="E78" i="6"/>
  <c r="F78" i="6" s="1"/>
  <c r="K77" i="6"/>
  <c r="J77" i="6"/>
  <c r="L77" i="6" s="1"/>
  <c r="I77" i="6"/>
  <c r="E77" i="6"/>
  <c r="F77" i="6" s="1"/>
  <c r="K76" i="6"/>
  <c r="J76" i="6"/>
  <c r="L76" i="6" s="1"/>
  <c r="I76" i="6"/>
  <c r="E76" i="6"/>
  <c r="F76" i="6" s="1"/>
  <c r="K75" i="6"/>
  <c r="L75" i="6" s="1"/>
  <c r="J75" i="6"/>
  <c r="I75" i="6"/>
  <c r="E75" i="6"/>
  <c r="F75" i="6" s="1"/>
  <c r="K74" i="6"/>
  <c r="J74" i="6"/>
  <c r="L74" i="6" s="1"/>
  <c r="I74" i="6"/>
  <c r="F74" i="6"/>
  <c r="E74" i="6"/>
  <c r="K73" i="6"/>
  <c r="L73" i="6" s="1"/>
  <c r="J73" i="6"/>
  <c r="I73" i="6"/>
  <c r="E73" i="6"/>
  <c r="F73" i="6" s="1"/>
  <c r="K72" i="6"/>
  <c r="J72" i="6"/>
  <c r="I72" i="6"/>
  <c r="E72" i="6"/>
  <c r="F72" i="6" s="1"/>
  <c r="K71" i="6"/>
  <c r="J71" i="6"/>
  <c r="L71" i="6" s="1"/>
  <c r="I71" i="6"/>
  <c r="E71" i="6"/>
  <c r="F71" i="6" s="1"/>
  <c r="K70" i="6"/>
  <c r="J70" i="6"/>
  <c r="I70" i="6"/>
  <c r="E70" i="6"/>
  <c r="F70" i="6" s="1"/>
  <c r="K69" i="6"/>
  <c r="J69" i="6"/>
  <c r="L69" i="6" s="1"/>
  <c r="I69" i="6"/>
  <c r="F69" i="6"/>
  <c r="E69" i="6"/>
  <c r="K68" i="6"/>
  <c r="J68" i="6"/>
  <c r="I68" i="6"/>
  <c r="E68" i="6"/>
  <c r="F68" i="6" s="1"/>
  <c r="K67" i="6"/>
  <c r="J67" i="6"/>
  <c r="L67" i="6" s="1"/>
  <c r="I67" i="6"/>
  <c r="F67" i="6"/>
  <c r="E67" i="6"/>
  <c r="K66" i="6"/>
  <c r="J66" i="6"/>
  <c r="I66" i="6"/>
  <c r="F66" i="6"/>
  <c r="E66" i="6"/>
  <c r="K65" i="6"/>
  <c r="J65" i="6"/>
  <c r="I65" i="6"/>
  <c r="E65" i="6"/>
  <c r="F65" i="6" s="1"/>
  <c r="K64" i="6"/>
  <c r="J64" i="6"/>
  <c r="I64" i="6"/>
  <c r="F64" i="6"/>
  <c r="E64" i="6"/>
  <c r="K63" i="6"/>
  <c r="J63" i="6"/>
  <c r="I63" i="6"/>
  <c r="E63" i="6"/>
  <c r="F63" i="6" s="1"/>
  <c r="K62" i="6"/>
  <c r="J62" i="6"/>
  <c r="I62" i="6"/>
  <c r="E62" i="6"/>
  <c r="F62" i="6" s="1"/>
  <c r="K61" i="6"/>
  <c r="J61" i="6"/>
  <c r="L61" i="6" s="1"/>
  <c r="I61" i="6"/>
  <c r="F61" i="6"/>
  <c r="E61" i="6"/>
  <c r="K60" i="6"/>
  <c r="J60" i="6"/>
  <c r="I60" i="6"/>
  <c r="E60" i="6"/>
  <c r="F60" i="6" s="1"/>
  <c r="L59" i="6"/>
  <c r="K59" i="6"/>
  <c r="J59" i="6"/>
  <c r="I59" i="6"/>
  <c r="F59" i="6"/>
  <c r="E59" i="6"/>
  <c r="K58" i="6"/>
  <c r="J58" i="6"/>
  <c r="I58" i="6"/>
  <c r="E58" i="6"/>
  <c r="F58" i="6" s="1"/>
  <c r="K57" i="6"/>
  <c r="J57" i="6"/>
  <c r="L57" i="6" s="1"/>
  <c r="I57" i="6"/>
  <c r="E57" i="6"/>
  <c r="F57" i="6" s="1"/>
  <c r="K56" i="6"/>
  <c r="J56" i="6"/>
  <c r="I56" i="6"/>
  <c r="F56" i="6"/>
  <c r="E56" i="6"/>
  <c r="K55" i="6"/>
  <c r="J55" i="6"/>
  <c r="I55" i="6"/>
  <c r="F55" i="6"/>
  <c r="E55" i="6"/>
  <c r="K54" i="6"/>
  <c r="J54" i="6"/>
  <c r="I54" i="6"/>
  <c r="F54" i="6"/>
  <c r="E54" i="6"/>
  <c r="K53" i="6"/>
  <c r="J53" i="6"/>
  <c r="I53" i="6"/>
  <c r="E53" i="6"/>
  <c r="F53" i="6" s="1"/>
  <c r="K52" i="6"/>
  <c r="J52" i="6"/>
  <c r="I52" i="6"/>
  <c r="F52" i="6"/>
  <c r="E52" i="6"/>
  <c r="K51" i="6"/>
  <c r="J51" i="6"/>
  <c r="L51" i="6" s="1"/>
  <c r="I51" i="6"/>
  <c r="F51" i="6"/>
  <c r="E51" i="6"/>
  <c r="K50" i="6"/>
  <c r="J50" i="6"/>
  <c r="I50" i="6"/>
  <c r="E50" i="6"/>
  <c r="F50" i="6" s="1"/>
  <c r="K49" i="6"/>
  <c r="L49" i="6" s="1"/>
  <c r="J49" i="6"/>
  <c r="I49" i="6"/>
  <c r="E49" i="6"/>
  <c r="F49" i="6" s="1"/>
  <c r="K48" i="6"/>
  <c r="J48" i="6"/>
  <c r="I48" i="6"/>
  <c r="F48" i="6"/>
  <c r="E48" i="6"/>
  <c r="K47" i="6"/>
  <c r="J47" i="6"/>
  <c r="I47" i="6"/>
  <c r="E47" i="6"/>
  <c r="F47" i="6" s="1"/>
  <c r="K46" i="6"/>
  <c r="J46" i="6"/>
  <c r="I46" i="6"/>
  <c r="E46" i="6"/>
  <c r="F46" i="6" s="1"/>
  <c r="K45" i="6"/>
  <c r="J45" i="6"/>
  <c r="L45" i="6" s="1"/>
  <c r="I45" i="6"/>
  <c r="F45" i="6"/>
  <c r="E45" i="6"/>
  <c r="K44" i="6"/>
  <c r="J44" i="6"/>
  <c r="I44" i="6"/>
  <c r="E44" i="6"/>
  <c r="F44" i="6" s="1"/>
  <c r="K43" i="6"/>
  <c r="J43" i="6"/>
  <c r="L43" i="6" s="1"/>
  <c r="I43" i="6"/>
  <c r="F43" i="6"/>
  <c r="E43" i="6"/>
  <c r="K42" i="6"/>
  <c r="J42" i="6"/>
  <c r="I42" i="6"/>
  <c r="E42" i="6"/>
  <c r="F42" i="6" s="1"/>
  <c r="K41" i="6"/>
  <c r="L41" i="6" s="1"/>
  <c r="J41" i="6"/>
  <c r="I41" i="6"/>
  <c r="E41" i="6"/>
  <c r="F41" i="6" s="1"/>
  <c r="K40" i="6"/>
  <c r="J40" i="6"/>
  <c r="I40" i="6"/>
  <c r="F40" i="6"/>
  <c r="E40" i="6"/>
  <c r="K39" i="6"/>
  <c r="J39" i="6"/>
  <c r="I39" i="6"/>
  <c r="E39" i="6"/>
  <c r="F39" i="6" s="1"/>
  <c r="K38" i="6"/>
  <c r="J38" i="6"/>
  <c r="I38" i="6"/>
  <c r="E38" i="6"/>
  <c r="F38" i="6" s="1"/>
  <c r="K37" i="6"/>
  <c r="J37" i="6"/>
  <c r="L37" i="6" s="1"/>
  <c r="I37" i="6"/>
  <c r="F37" i="6"/>
  <c r="E37" i="6"/>
  <c r="K36" i="6"/>
  <c r="J36" i="6"/>
  <c r="I36" i="6"/>
  <c r="E36" i="6"/>
  <c r="F36" i="6" s="1"/>
  <c r="K35" i="6"/>
  <c r="J35" i="6"/>
  <c r="L35" i="6" s="1"/>
  <c r="I35" i="6"/>
  <c r="F35" i="6"/>
  <c r="E35" i="6"/>
  <c r="K34" i="6"/>
  <c r="J34" i="6"/>
  <c r="I34" i="6"/>
  <c r="E34" i="6"/>
  <c r="F34" i="6" s="1"/>
  <c r="K33" i="6"/>
  <c r="L33" i="6" s="1"/>
  <c r="J33" i="6"/>
  <c r="I33" i="6"/>
  <c r="F33" i="6"/>
  <c r="E33" i="6"/>
  <c r="K32" i="6"/>
  <c r="J32" i="6"/>
  <c r="I32" i="6"/>
  <c r="F32" i="6"/>
  <c r="E32" i="6"/>
  <c r="K31" i="6"/>
  <c r="J31" i="6"/>
  <c r="I31" i="6"/>
  <c r="E31" i="6"/>
  <c r="F31" i="6" s="1"/>
  <c r="K30" i="6"/>
  <c r="J30" i="6"/>
  <c r="I30" i="6"/>
  <c r="E30" i="6"/>
  <c r="F30" i="6" s="1"/>
  <c r="K29" i="6"/>
  <c r="J29" i="6"/>
  <c r="L29" i="6" s="1"/>
  <c r="I29" i="6"/>
  <c r="F29" i="6"/>
  <c r="E29" i="6"/>
  <c r="K28" i="6"/>
  <c r="J28" i="6"/>
  <c r="I28" i="6"/>
  <c r="E28" i="6"/>
  <c r="F28" i="6" s="1"/>
  <c r="K27" i="6"/>
  <c r="J27" i="6"/>
  <c r="L27" i="6" s="1"/>
  <c r="I27" i="6"/>
  <c r="F27" i="6"/>
  <c r="E27" i="6"/>
  <c r="K26" i="6"/>
  <c r="J26" i="6"/>
  <c r="I26" i="6"/>
  <c r="E26" i="6"/>
  <c r="F26" i="6" s="1"/>
  <c r="K25" i="6"/>
  <c r="L25" i="6" s="1"/>
  <c r="J25" i="6"/>
  <c r="I25" i="6"/>
  <c r="E25" i="6"/>
  <c r="F25" i="6" s="1"/>
  <c r="K24" i="6"/>
  <c r="J24" i="6"/>
  <c r="I24" i="6"/>
  <c r="F24" i="6"/>
  <c r="E24" i="6"/>
  <c r="K23" i="6"/>
  <c r="J23" i="6"/>
  <c r="I23" i="6"/>
  <c r="E23" i="6"/>
  <c r="F23" i="6" s="1"/>
  <c r="K22" i="6"/>
  <c r="J22" i="6"/>
  <c r="I22" i="6"/>
  <c r="E22" i="6"/>
  <c r="F22" i="6" s="1"/>
  <c r="K21" i="6"/>
  <c r="J21" i="6"/>
  <c r="L21" i="6" s="1"/>
  <c r="I21" i="6"/>
  <c r="F21" i="6"/>
  <c r="E21" i="6"/>
  <c r="K20" i="6"/>
  <c r="J20" i="6"/>
  <c r="I20" i="6"/>
  <c r="E20" i="6"/>
  <c r="F20" i="6" s="1"/>
  <c r="K19" i="6"/>
  <c r="J19" i="6"/>
  <c r="L19" i="6" s="1"/>
  <c r="I19" i="6"/>
  <c r="F19" i="6"/>
  <c r="E19" i="6"/>
  <c r="K18" i="6"/>
  <c r="J18" i="6"/>
  <c r="I18" i="6"/>
  <c r="E18" i="6"/>
  <c r="F18" i="6" s="1"/>
  <c r="K17" i="6"/>
  <c r="L17" i="6" s="1"/>
  <c r="J17" i="6"/>
  <c r="I17" i="6"/>
  <c r="E17" i="6"/>
  <c r="F17" i="6" s="1"/>
  <c r="K16" i="6"/>
  <c r="J16" i="6"/>
  <c r="I16" i="6"/>
  <c r="F16" i="6"/>
  <c r="E16" i="6"/>
  <c r="K15" i="6"/>
  <c r="J15" i="6"/>
  <c r="I15" i="6"/>
  <c r="E15" i="6"/>
  <c r="F15" i="6" s="1"/>
  <c r="K14" i="6"/>
  <c r="J14" i="6"/>
  <c r="I14" i="6"/>
  <c r="E14" i="6"/>
  <c r="F14" i="6" s="1"/>
  <c r="K13" i="6"/>
  <c r="J13" i="6"/>
  <c r="L13" i="6" s="1"/>
  <c r="I13" i="6"/>
  <c r="F13" i="6"/>
  <c r="E13" i="6"/>
  <c r="K12" i="6"/>
  <c r="J12" i="6"/>
  <c r="I12" i="6"/>
  <c r="E12" i="6"/>
  <c r="F12" i="6" s="1"/>
  <c r="K11" i="6"/>
  <c r="J11" i="6"/>
  <c r="L11" i="6" s="1"/>
  <c r="I11" i="6"/>
  <c r="E11" i="6"/>
  <c r="F11" i="6" s="1"/>
  <c r="K10" i="6"/>
  <c r="J10" i="6"/>
  <c r="I10" i="6"/>
  <c r="F10" i="6"/>
  <c r="E10" i="6"/>
  <c r="K9" i="6"/>
  <c r="J9" i="6"/>
  <c r="L9" i="6" s="1"/>
  <c r="I9" i="6"/>
  <c r="E9" i="6"/>
  <c r="F9" i="6" s="1"/>
  <c r="K8" i="6"/>
  <c r="J8" i="6"/>
  <c r="I8" i="6"/>
  <c r="E8" i="6"/>
  <c r="F8" i="6" s="1"/>
  <c r="K7" i="6"/>
  <c r="J7" i="6"/>
  <c r="I7" i="6"/>
  <c r="F7" i="6"/>
  <c r="E7" i="6"/>
  <c r="K6" i="6"/>
  <c r="J6" i="6"/>
  <c r="I6" i="6"/>
  <c r="E6" i="6"/>
  <c r="F6" i="6" s="1"/>
  <c r="K5" i="6"/>
  <c r="J5" i="6"/>
  <c r="L5" i="6" s="1"/>
  <c r="I5" i="6"/>
  <c r="F5" i="6"/>
  <c r="E5" i="6"/>
  <c r="M178" i="5"/>
  <c r="L178" i="5"/>
  <c r="N178" i="5" s="1"/>
  <c r="K178" i="5"/>
  <c r="G178" i="5"/>
  <c r="H178" i="5" s="1"/>
  <c r="N177" i="5"/>
  <c r="M177" i="5"/>
  <c r="L177" i="5"/>
  <c r="K177" i="5"/>
  <c r="H177" i="5"/>
  <c r="G177" i="5"/>
  <c r="M176" i="5"/>
  <c r="L176" i="5"/>
  <c r="N176" i="5" s="1"/>
  <c r="K176" i="5"/>
  <c r="H176" i="5"/>
  <c r="G176" i="5"/>
  <c r="M175" i="5"/>
  <c r="N175" i="5" s="1"/>
  <c r="L175" i="5"/>
  <c r="K175" i="5"/>
  <c r="G175" i="5"/>
  <c r="H175" i="5" s="1"/>
  <c r="M174" i="5"/>
  <c r="L174" i="5"/>
  <c r="N174" i="5" s="1"/>
  <c r="K174" i="5"/>
  <c r="H174" i="5"/>
  <c r="G174" i="5"/>
  <c r="M173" i="5"/>
  <c r="L173" i="5"/>
  <c r="N173" i="5" s="1"/>
  <c r="K173" i="5"/>
  <c r="G173" i="5"/>
  <c r="H173" i="5" s="1"/>
  <c r="M172" i="5"/>
  <c r="L172" i="5"/>
  <c r="K172" i="5"/>
  <c r="G172" i="5"/>
  <c r="H172" i="5" s="1"/>
  <c r="M171" i="5"/>
  <c r="L171" i="5"/>
  <c r="N171" i="5" s="1"/>
  <c r="K171" i="5"/>
  <c r="G171" i="5"/>
  <c r="H171" i="5" s="1"/>
  <c r="M170" i="5"/>
  <c r="L170" i="5"/>
  <c r="N170" i="5" s="1"/>
  <c r="K170" i="5"/>
  <c r="G170" i="5"/>
  <c r="H170" i="5" s="1"/>
  <c r="N169" i="5"/>
  <c r="M169" i="5"/>
  <c r="L169" i="5"/>
  <c r="K169" i="5"/>
  <c r="H169" i="5"/>
  <c r="G169" i="5"/>
  <c r="M168" i="5"/>
  <c r="L168" i="5"/>
  <c r="N168" i="5" s="1"/>
  <c r="K168" i="5"/>
  <c r="H168" i="5"/>
  <c r="G168" i="5"/>
  <c r="M167" i="5"/>
  <c r="N167" i="5" s="1"/>
  <c r="L167" i="5"/>
  <c r="K167" i="5"/>
  <c r="H167" i="5"/>
  <c r="G167" i="5"/>
  <c r="M166" i="5"/>
  <c r="L166" i="5"/>
  <c r="N166" i="5" s="1"/>
  <c r="K166" i="5"/>
  <c r="H166" i="5"/>
  <c r="G166" i="5"/>
  <c r="M165" i="5"/>
  <c r="L165" i="5"/>
  <c r="N165" i="5" s="1"/>
  <c r="K165" i="5"/>
  <c r="H165" i="5"/>
  <c r="G165" i="5"/>
  <c r="M164" i="5"/>
  <c r="L164" i="5"/>
  <c r="K164" i="5"/>
  <c r="G164" i="5"/>
  <c r="H164" i="5" s="1"/>
  <c r="M163" i="5"/>
  <c r="L163" i="5"/>
  <c r="N163" i="5" s="1"/>
  <c r="K163" i="5"/>
  <c r="G163" i="5"/>
  <c r="H163" i="5" s="1"/>
  <c r="M162" i="5"/>
  <c r="L162" i="5"/>
  <c r="N162" i="5" s="1"/>
  <c r="K162" i="5"/>
  <c r="G162" i="5"/>
  <c r="H162" i="5" s="1"/>
  <c r="N161" i="5"/>
  <c r="M161" i="5"/>
  <c r="L161" i="5"/>
  <c r="K161" i="5"/>
  <c r="H161" i="5"/>
  <c r="G161" i="5"/>
  <c r="M160" i="5"/>
  <c r="L160" i="5"/>
  <c r="N160" i="5" s="1"/>
  <c r="K160" i="5"/>
  <c r="G160" i="5"/>
  <c r="H160" i="5" s="1"/>
  <c r="M159" i="5"/>
  <c r="N159" i="5" s="1"/>
  <c r="L159" i="5"/>
  <c r="K159" i="5"/>
  <c r="G159" i="5"/>
  <c r="H159" i="5" s="1"/>
  <c r="M158" i="5"/>
  <c r="L158" i="5"/>
  <c r="N158" i="5" s="1"/>
  <c r="K158" i="5"/>
  <c r="H158" i="5"/>
  <c r="G158" i="5"/>
  <c r="M157" i="5"/>
  <c r="L157" i="5"/>
  <c r="N157" i="5" s="1"/>
  <c r="K157" i="5"/>
  <c r="G157" i="5"/>
  <c r="H157" i="5" s="1"/>
  <c r="M156" i="5"/>
  <c r="L156" i="5"/>
  <c r="K156" i="5"/>
  <c r="G156" i="5"/>
  <c r="H156" i="5" s="1"/>
  <c r="M155" i="5"/>
  <c r="L155" i="5"/>
  <c r="N155" i="5" s="1"/>
  <c r="K155" i="5"/>
  <c r="G155" i="5"/>
  <c r="H155" i="5" s="1"/>
  <c r="M154" i="5"/>
  <c r="L154" i="5"/>
  <c r="N154" i="5" s="1"/>
  <c r="K154" i="5"/>
  <c r="G154" i="5"/>
  <c r="H154" i="5" s="1"/>
  <c r="N153" i="5"/>
  <c r="M153" i="5"/>
  <c r="L153" i="5"/>
  <c r="K153" i="5"/>
  <c r="H153" i="5"/>
  <c r="G153" i="5"/>
  <c r="M152" i="5"/>
  <c r="L152" i="5"/>
  <c r="N152" i="5" s="1"/>
  <c r="K152" i="5"/>
  <c r="G152" i="5"/>
  <c r="H152" i="5" s="1"/>
  <c r="M151" i="5"/>
  <c r="N151" i="5" s="1"/>
  <c r="L151" i="5"/>
  <c r="K151" i="5"/>
  <c r="G151" i="5"/>
  <c r="H151" i="5" s="1"/>
  <c r="M150" i="5"/>
  <c r="L150" i="5"/>
  <c r="N150" i="5" s="1"/>
  <c r="K150" i="5"/>
  <c r="H150" i="5"/>
  <c r="G150" i="5"/>
  <c r="M149" i="5"/>
  <c r="L149" i="5"/>
  <c r="N149" i="5" s="1"/>
  <c r="K149" i="5"/>
  <c r="G149" i="5"/>
  <c r="H149" i="5" s="1"/>
  <c r="M148" i="5"/>
  <c r="L148" i="5"/>
  <c r="K148" i="5"/>
  <c r="G148" i="5"/>
  <c r="H148" i="5" s="1"/>
  <c r="M147" i="5"/>
  <c r="L147" i="5"/>
  <c r="N147" i="5" s="1"/>
  <c r="K147" i="5"/>
  <c r="G147" i="5"/>
  <c r="H147" i="5" s="1"/>
  <c r="M146" i="5"/>
  <c r="L146" i="5"/>
  <c r="N146" i="5" s="1"/>
  <c r="K146" i="5"/>
  <c r="G146" i="5"/>
  <c r="H146" i="5" s="1"/>
  <c r="N145" i="5"/>
  <c r="M145" i="5"/>
  <c r="L145" i="5"/>
  <c r="K145" i="5"/>
  <c r="H145" i="5"/>
  <c r="G145" i="5"/>
  <c r="M144" i="5"/>
  <c r="L144" i="5"/>
  <c r="N144" i="5" s="1"/>
  <c r="K144" i="5"/>
  <c r="G144" i="5"/>
  <c r="H144" i="5" s="1"/>
  <c r="M143" i="5"/>
  <c r="N143" i="5" s="1"/>
  <c r="L143" i="5"/>
  <c r="K143" i="5"/>
  <c r="G143" i="5"/>
  <c r="H143" i="5" s="1"/>
  <c r="M142" i="5"/>
  <c r="L142" i="5"/>
  <c r="N142" i="5" s="1"/>
  <c r="K142" i="5"/>
  <c r="H142" i="5"/>
  <c r="G142" i="5"/>
  <c r="M141" i="5"/>
  <c r="L141" i="5"/>
  <c r="N141" i="5" s="1"/>
  <c r="K141" i="5"/>
  <c r="G141" i="5"/>
  <c r="H141" i="5" s="1"/>
  <c r="M140" i="5"/>
  <c r="L140" i="5"/>
  <c r="K140" i="5"/>
  <c r="G140" i="5"/>
  <c r="H140" i="5" s="1"/>
  <c r="M139" i="5"/>
  <c r="L139" i="5"/>
  <c r="N139" i="5" s="1"/>
  <c r="K139" i="5"/>
  <c r="G139" i="5"/>
  <c r="H139" i="5" s="1"/>
  <c r="M138" i="5"/>
  <c r="L138" i="5"/>
  <c r="N138" i="5" s="1"/>
  <c r="K138" i="5"/>
  <c r="G138" i="5"/>
  <c r="H138" i="5" s="1"/>
  <c r="N137" i="5"/>
  <c r="M137" i="5"/>
  <c r="L137" i="5"/>
  <c r="K137" i="5"/>
  <c r="H137" i="5"/>
  <c r="G137" i="5"/>
  <c r="M136" i="5"/>
  <c r="L136" i="5"/>
  <c r="N136" i="5" s="1"/>
  <c r="K136" i="5"/>
  <c r="G136" i="5"/>
  <c r="H136" i="5" s="1"/>
  <c r="M135" i="5"/>
  <c r="N135" i="5" s="1"/>
  <c r="L135" i="5"/>
  <c r="K135" i="5"/>
  <c r="G135" i="5"/>
  <c r="H135" i="5" s="1"/>
  <c r="M134" i="5"/>
  <c r="L134" i="5"/>
  <c r="N134" i="5" s="1"/>
  <c r="K134" i="5"/>
  <c r="H134" i="5"/>
  <c r="G134" i="5"/>
  <c r="M133" i="5"/>
  <c r="L133" i="5"/>
  <c r="N133" i="5" s="1"/>
  <c r="K133" i="5"/>
  <c r="G133" i="5"/>
  <c r="H133" i="5" s="1"/>
  <c r="M132" i="5"/>
  <c r="L132" i="5"/>
  <c r="K132" i="5"/>
  <c r="G132" i="5"/>
  <c r="H132" i="5" s="1"/>
  <c r="M131" i="5"/>
  <c r="L131" i="5"/>
  <c r="N131" i="5" s="1"/>
  <c r="K131" i="5"/>
  <c r="H131" i="5"/>
  <c r="G131" i="5"/>
  <c r="M130" i="5"/>
  <c r="L130" i="5"/>
  <c r="N130" i="5" s="1"/>
  <c r="K130" i="5"/>
  <c r="G130" i="5"/>
  <c r="H130" i="5" s="1"/>
  <c r="N129" i="5"/>
  <c r="M129" i="5"/>
  <c r="L129" i="5"/>
  <c r="K129" i="5"/>
  <c r="H129" i="5"/>
  <c r="G129" i="5"/>
  <c r="M128" i="5"/>
  <c r="L128" i="5"/>
  <c r="N128" i="5" s="1"/>
  <c r="K128" i="5"/>
  <c r="H128" i="5"/>
  <c r="G128" i="5"/>
  <c r="M127" i="5"/>
  <c r="N127" i="5" s="1"/>
  <c r="L127" i="5"/>
  <c r="K127" i="5"/>
  <c r="G127" i="5"/>
  <c r="H127" i="5" s="1"/>
  <c r="M126" i="5"/>
  <c r="L126" i="5"/>
  <c r="N126" i="5" s="1"/>
  <c r="K126" i="5"/>
  <c r="H126" i="5"/>
  <c r="G126" i="5"/>
  <c r="M125" i="5"/>
  <c r="L125" i="5"/>
  <c r="N125" i="5" s="1"/>
  <c r="K125" i="5"/>
  <c r="G125" i="5"/>
  <c r="H125" i="5" s="1"/>
  <c r="M124" i="5"/>
  <c r="L124" i="5"/>
  <c r="K124" i="5"/>
  <c r="G124" i="5"/>
  <c r="H124" i="5" s="1"/>
  <c r="M123" i="5"/>
  <c r="L123" i="5"/>
  <c r="N123" i="5" s="1"/>
  <c r="K123" i="5"/>
  <c r="G123" i="5"/>
  <c r="H123" i="5" s="1"/>
  <c r="M122" i="5"/>
  <c r="L122" i="5"/>
  <c r="N122" i="5" s="1"/>
  <c r="K122" i="5"/>
  <c r="G122" i="5"/>
  <c r="H122" i="5" s="1"/>
  <c r="N121" i="5"/>
  <c r="M121" i="5"/>
  <c r="L121" i="5"/>
  <c r="K121" i="5"/>
  <c r="H121" i="5"/>
  <c r="G121" i="5"/>
  <c r="M120" i="5"/>
  <c r="L120" i="5"/>
  <c r="N120" i="5" s="1"/>
  <c r="K120" i="5"/>
  <c r="G120" i="5"/>
  <c r="H120" i="5" s="1"/>
  <c r="M119" i="5"/>
  <c r="N119" i="5" s="1"/>
  <c r="L119" i="5"/>
  <c r="K119" i="5"/>
  <c r="H119" i="5"/>
  <c r="G119" i="5"/>
  <c r="M118" i="5"/>
  <c r="L118" i="5"/>
  <c r="K118" i="5"/>
  <c r="H118" i="5"/>
  <c r="G118" i="5"/>
  <c r="M117" i="5"/>
  <c r="L117" i="5"/>
  <c r="N117" i="5" s="1"/>
  <c r="K117" i="5"/>
  <c r="G117" i="5"/>
  <c r="H117" i="5" s="1"/>
  <c r="M116" i="5"/>
  <c r="L116" i="5"/>
  <c r="K116" i="5"/>
  <c r="G116" i="5"/>
  <c r="H116" i="5" s="1"/>
  <c r="M115" i="5"/>
  <c r="L115" i="5"/>
  <c r="N115" i="5" s="1"/>
  <c r="K115" i="5"/>
  <c r="H115" i="5"/>
  <c r="G115" i="5"/>
  <c r="M114" i="5"/>
  <c r="L114" i="5"/>
  <c r="N114" i="5" s="1"/>
  <c r="K114" i="5"/>
  <c r="G114" i="5"/>
  <c r="H114" i="5" s="1"/>
  <c r="N113" i="5"/>
  <c r="M113" i="5"/>
  <c r="L113" i="5"/>
  <c r="K113" i="5"/>
  <c r="H113" i="5"/>
  <c r="G113" i="5"/>
  <c r="M112" i="5"/>
  <c r="L112" i="5"/>
  <c r="N112" i="5" s="1"/>
  <c r="K112" i="5"/>
  <c r="G112" i="5"/>
  <c r="H112" i="5" s="1"/>
  <c r="M111" i="5"/>
  <c r="N111" i="5" s="1"/>
  <c r="L111" i="5"/>
  <c r="K111" i="5"/>
  <c r="G111" i="5"/>
  <c r="H111" i="5" s="1"/>
  <c r="M110" i="5"/>
  <c r="L110" i="5"/>
  <c r="N110" i="5" s="1"/>
  <c r="K110" i="5"/>
  <c r="H110" i="5"/>
  <c r="G110" i="5"/>
  <c r="M109" i="5"/>
  <c r="L109" i="5"/>
  <c r="N109" i="5" s="1"/>
  <c r="K109" i="5"/>
  <c r="G109" i="5"/>
  <c r="H109" i="5" s="1"/>
  <c r="M108" i="5"/>
  <c r="L108" i="5"/>
  <c r="K108" i="5"/>
  <c r="G108" i="5"/>
  <c r="H108" i="5" s="1"/>
  <c r="M107" i="5"/>
  <c r="L107" i="5"/>
  <c r="N107" i="5" s="1"/>
  <c r="K107" i="5"/>
  <c r="G107" i="5"/>
  <c r="H107" i="5" s="1"/>
  <c r="M106" i="5"/>
  <c r="L106" i="5"/>
  <c r="N106" i="5" s="1"/>
  <c r="K106" i="5"/>
  <c r="G106" i="5"/>
  <c r="H106" i="5" s="1"/>
  <c r="N105" i="5"/>
  <c r="M105" i="5"/>
  <c r="L105" i="5"/>
  <c r="K105" i="5"/>
  <c r="H105" i="5"/>
  <c r="G105" i="5"/>
  <c r="M104" i="5"/>
  <c r="L104" i="5"/>
  <c r="N104" i="5" s="1"/>
  <c r="K104" i="5"/>
  <c r="G104" i="5"/>
  <c r="H104" i="5" s="1"/>
  <c r="M103" i="5"/>
  <c r="N103" i="5" s="1"/>
  <c r="L103" i="5"/>
  <c r="K103" i="5"/>
  <c r="G103" i="5"/>
  <c r="H103" i="5" s="1"/>
  <c r="M102" i="5"/>
  <c r="L102" i="5"/>
  <c r="N102" i="5" s="1"/>
  <c r="K102" i="5"/>
  <c r="G102" i="5"/>
  <c r="H102" i="5" s="1"/>
  <c r="M101" i="5"/>
  <c r="L101" i="5"/>
  <c r="N101" i="5" s="1"/>
  <c r="K101" i="5"/>
  <c r="G101" i="5"/>
  <c r="H101" i="5" s="1"/>
  <c r="M100" i="5"/>
  <c r="L100" i="5"/>
  <c r="N100" i="5" s="1"/>
  <c r="K100" i="5"/>
  <c r="G100" i="5"/>
  <c r="H100" i="5" s="1"/>
  <c r="N99" i="5"/>
  <c r="M99" i="5"/>
  <c r="L99" i="5"/>
  <c r="K99" i="5"/>
  <c r="H99" i="5"/>
  <c r="G99" i="5"/>
  <c r="M98" i="5"/>
  <c r="L98" i="5"/>
  <c r="N98" i="5" s="1"/>
  <c r="K98" i="5"/>
  <c r="G98" i="5"/>
  <c r="H98" i="5" s="1"/>
  <c r="M97" i="5"/>
  <c r="N97" i="5" s="1"/>
  <c r="L97" i="5"/>
  <c r="K97" i="5"/>
  <c r="G97" i="5"/>
  <c r="H97" i="5" s="1"/>
  <c r="M96" i="5"/>
  <c r="L96" i="5"/>
  <c r="N96" i="5" s="1"/>
  <c r="K96" i="5"/>
  <c r="H96" i="5"/>
  <c r="G96" i="5"/>
  <c r="M95" i="5"/>
  <c r="L95" i="5"/>
  <c r="N95" i="5" s="1"/>
  <c r="K95" i="5"/>
  <c r="G95" i="5"/>
  <c r="H95" i="5" s="1"/>
  <c r="M94" i="5"/>
  <c r="L94" i="5"/>
  <c r="K94" i="5"/>
  <c r="G94" i="5"/>
  <c r="H94" i="5" s="1"/>
  <c r="M93" i="5"/>
  <c r="L93" i="5"/>
  <c r="N93" i="5" s="1"/>
  <c r="K93" i="5"/>
  <c r="G93" i="5"/>
  <c r="H93" i="5" s="1"/>
  <c r="M92" i="5"/>
  <c r="L92" i="5"/>
  <c r="K92" i="5"/>
  <c r="G92" i="5"/>
  <c r="H92" i="5" s="1"/>
  <c r="N91" i="5"/>
  <c r="M91" i="5"/>
  <c r="L91" i="5"/>
  <c r="K91" i="5"/>
  <c r="H91" i="5"/>
  <c r="G91" i="5"/>
  <c r="M90" i="5"/>
  <c r="L90" i="5"/>
  <c r="N90" i="5" s="1"/>
  <c r="K90" i="5"/>
  <c r="H90" i="5"/>
  <c r="G90" i="5"/>
  <c r="M89" i="5"/>
  <c r="L89" i="5"/>
  <c r="N89" i="5" s="1"/>
  <c r="K89" i="5"/>
  <c r="G89" i="5"/>
  <c r="H89" i="5" s="1"/>
  <c r="M88" i="5"/>
  <c r="L88" i="5"/>
  <c r="K88" i="5"/>
  <c r="G88" i="5"/>
  <c r="H88" i="5" s="1"/>
  <c r="M87" i="5"/>
  <c r="L87" i="5"/>
  <c r="N87" i="5" s="1"/>
  <c r="K87" i="5"/>
  <c r="H87" i="5"/>
  <c r="G87" i="5"/>
  <c r="M86" i="5"/>
  <c r="L86" i="5"/>
  <c r="N86" i="5" s="1"/>
  <c r="K86" i="5"/>
  <c r="G86" i="5"/>
  <c r="H86" i="5" s="1"/>
  <c r="M85" i="5"/>
  <c r="N85" i="5" s="1"/>
  <c r="L85" i="5"/>
  <c r="K85" i="5"/>
  <c r="G85" i="5"/>
  <c r="H85" i="5" s="1"/>
  <c r="M84" i="5"/>
  <c r="L84" i="5"/>
  <c r="N84" i="5" s="1"/>
  <c r="K84" i="5"/>
  <c r="H84" i="5"/>
  <c r="G84" i="5"/>
  <c r="M83" i="5"/>
  <c r="L83" i="5"/>
  <c r="K83" i="5"/>
  <c r="G83" i="5"/>
  <c r="H83" i="5" s="1"/>
  <c r="M82" i="5"/>
  <c r="L82" i="5"/>
  <c r="K82" i="5"/>
  <c r="G82" i="5"/>
  <c r="H82" i="5" s="1"/>
  <c r="M81" i="5"/>
  <c r="L81" i="5"/>
  <c r="N81" i="5" s="1"/>
  <c r="K81" i="5"/>
  <c r="G81" i="5"/>
  <c r="H81" i="5" s="1"/>
  <c r="M80" i="5"/>
  <c r="L80" i="5"/>
  <c r="N80" i="5" s="1"/>
  <c r="K80" i="5"/>
  <c r="G80" i="5"/>
  <c r="H80" i="5" s="1"/>
  <c r="N79" i="5"/>
  <c r="M79" i="5"/>
  <c r="L79" i="5"/>
  <c r="K79" i="5"/>
  <c r="H79" i="5"/>
  <c r="G79" i="5"/>
  <c r="M78" i="5"/>
  <c r="L78" i="5"/>
  <c r="N78" i="5" s="1"/>
  <c r="K78" i="5"/>
  <c r="G78" i="5"/>
  <c r="H78" i="5" s="1"/>
  <c r="M77" i="5"/>
  <c r="N77" i="5" s="1"/>
  <c r="L77" i="5"/>
  <c r="K77" i="5"/>
  <c r="G77" i="5"/>
  <c r="H77" i="5" s="1"/>
  <c r="M76" i="5"/>
  <c r="L76" i="5"/>
  <c r="N76" i="5" s="1"/>
  <c r="K76" i="5"/>
  <c r="G76" i="5"/>
  <c r="H76" i="5" s="1"/>
  <c r="M75" i="5"/>
  <c r="L75" i="5"/>
  <c r="N75" i="5" s="1"/>
  <c r="K75" i="5"/>
  <c r="G75" i="5"/>
  <c r="H75" i="5" s="1"/>
  <c r="M74" i="5"/>
  <c r="L74" i="5"/>
  <c r="N74" i="5" s="1"/>
  <c r="K74" i="5"/>
  <c r="G74" i="5"/>
  <c r="H74" i="5" s="1"/>
  <c r="M73" i="5"/>
  <c r="N73" i="5" s="1"/>
  <c r="L73" i="5"/>
  <c r="K73" i="5"/>
  <c r="G73" i="5"/>
  <c r="H73" i="5" s="1"/>
  <c r="M72" i="5"/>
  <c r="L72" i="5"/>
  <c r="N72" i="5" s="1"/>
  <c r="K72" i="5"/>
  <c r="G72" i="5"/>
  <c r="H72" i="5" s="1"/>
  <c r="M71" i="5"/>
  <c r="L71" i="5"/>
  <c r="N71" i="5" s="1"/>
  <c r="K71" i="5"/>
  <c r="G71" i="5"/>
  <c r="H71" i="5" s="1"/>
  <c r="M70" i="5"/>
  <c r="L70" i="5"/>
  <c r="N70" i="5" s="1"/>
  <c r="K70" i="5"/>
  <c r="H70" i="5"/>
  <c r="G70" i="5"/>
  <c r="N69" i="5"/>
  <c r="M69" i="5"/>
  <c r="L69" i="5"/>
  <c r="K69" i="5"/>
  <c r="H69" i="5"/>
  <c r="G69" i="5"/>
  <c r="M68" i="5"/>
  <c r="L68" i="5"/>
  <c r="N68" i="5" s="1"/>
  <c r="K68" i="5"/>
  <c r="G68" i="5"/>
  <c r="H68" i="5" s="1"/>
  <c r="M67" i="5"/>
  <c r="N67" i="5" s="1"/>
  <c r="L67" i="5"/>
  <c r="K67" i="5"/>
  <c r="G67" i="5"/>
  <c r="H67" i="5" s="1"/>
  <c r="M66" i="5"/>
  <c r="L66" i="5"/>
  <c r="N66" i="5" s="1"/>
  <c r="K66" i="5"/>
  <c r="H66" i="5"/>
  <c r="G66" i="5"/>
  <c r="M65" i="5"/>
  <c r="L65" i="5"/>
  <c r="N65" i="5" s="1"/>
  <c r="K65" i="5"/>
  <c r="H65" i="5"/>
  <c r="G65" i="5"/>
  <c r="M64" i="5"/>
  <c r="L64" i="5"/>
  <c r="K64" i="5"/>
  <c r="H64" i="5"/>
  <c r="G64" i="5"/>
  <c r="M63" i="5"/>
  <c r="L63" i="5"/>
  <c r="N63" i="5" s="1"/>
  <c r="K63" i="5"/>
  <c r="G63" i="5"/>
  <c r="H63" i="5" s="1"/>
  <c r="M62" i="5"/>
  <c r="L62" i="5"/>
  <c r="N62" i="5" s="1"/>
  <c r="K62" i="5"/>
  <c r="G62" i="5"/>
  <c r="H62" i="5" s="1"/>
  <c r="N61" i="5"/>
  <c r="M61" i="5"/>
  <c r="L61" i="5"/>
  <c r="K61" i="5"/>
  <c r="H61" i="5"/>
  <c r="G61" i="5"/>
  <c r="M60" i="5"/>
  <c r="L60" i="5"/>
  <c r="N60" i="5" s="1"/>
  <c r="K60" i="5"/>
  <c r="G60" i="5"/>
  <c r="H60" i="5" s="1"/>
  <c r="M59" i="5"/>
  <c r="N59" i="5" s="1"/>
  <c r="L59" i="5"/>
  <c r="K59" i="5"/>
  <c r="G59" i="5"/>
  <c r="H59" i="5" s="1"/>
  <c r="M58" i="5"/>
  <c r="L58" i="5"/>
  <c r="N58" i="5" s="1"/>
  <c r="K58" i="5"/>
  <c r="H58" i="5"/>
  <c r="G58" i="5"/>
  <c r="M57" i="5"/>
  <c r="L57" i="5"/>
  <c r="K57" i="5"/>
  <c r="G57" i="5"/>
  <c r="H57" i="5" s="1"/>
  <c r="M56" i="5"/>
  <c r="L56" i="5"/>
  <c r="K56" i="5"/>
  <c r="G56" i="5"/>
  <c r="H56" i="5" s="1"/>
  <c r="M55" i="5"/>
  <c r="L55" i="5"/>
  <c r="N55" i="5" s="1"/>
  <c r="K55" i="5"/>
  <c r="G55" i="5"/>
  <c r="H55" i="5" s="1"/>
  <c r="M54" i="5"/>
  <c r="L54" i="5"/>
  <c r="N54" i="5" s="1"/>
  <c r="K54" i="5"/>
  <c r="G54" i="5"/>
  <c r="H54" i="5" s="1"/>
  <c r="M53" i="5"/>
  <c r="N53" i="5" s="1"/>
  <c r="L53" i="5"/>
  <c r="K53" i="5"/>
  <c r="G53" i="5"/>
  <c r="H53" i="5" s="1"/>
  <c r="M52" i="5"/>
  <c r="L52" i="5"/>
  <c r="N52" i="5" s="1"/>
  <c r="K52" i="5"/>
  <c r="H52" i="5"/>
  <c r="G52" i="5"/>
  <c r="M51" i="5"/>
  <c r="L51" i="5"/>
  <c r="K51" i="5"/>
  <c r="G51" i="5"/>
  <c r="H51" i="5" s="1"/>
  <c r="M50" i="5"/>
  <c r="L50" i="5"/>
  <c r="K50" i="5"/>
  <c r="G50" i="5"/>
  <c r="H50" i="5" s="1"/>
  <c r="M49" i="5"/>
  <c r="L49" i="5"/>
  <c r="N49" i="5" s="1"/>
  <c r="K49" i="5"/>
  <c r="G49" i="5"/>
  <c r="H49" i="5" s="1"/>
  <c r="M48" i="5"/>
  <c r="L48" i="5"/>
  <c r="N48" i="5" s="1"/>
  <c r="K48" i="5"/>
  <c r="G48" i="5"/>
  <c r="H48" i="5" s="1"/>
  <c r="N47" i="5"/>
  <c r="M47" i="5"/>
  <c r="L47" i="5"/>
  <c r="K47" i="5"/>
  <c r="H47" i="5"/>
  <c r="G47" i="5"/>
  <c r="M46" i="5"/>
  <c r="L46" i="5"/>
  <c r="N46" i="5" s="1"/>
  <c r="K46" i="5"/>
  <c r="G46" i="5"/>
  <c r="H46" i="5" s="1"/>
  <c r="M45" i="5"/>
  <c r="N45" i="5" s="1"/>
  <c r="L45" i="5"/>
  <c r="K45" i="5"/>
  <c r="H45" i="5"/>
  <c r="G45" i="5"/>
  <c r="M44" i="5"/>
  <c r="L44" i="5"/>
  <c r="N44" i="5" s="1"/>
  <c r="K44" i="5"/>
  <c r="H44" i="5"/>
  <c r="G44" i="5"/>
  <c r="M43" i="5"/>
  <c r="L43" i="5"/>
  <c r="N43" i="5" s="1"/>
  <c r="K43" i="5"/>
  <c r="H43" i="5"/>
  <c r="G43" i="5"/>
  <c r="M42" i="5"/>
  <c r="L42" i="5"/>
  <c r="K42" i="5"/>
  <c r="G42" i="5"/>
  <c r="H42" i="5" s="1"/>
  <c r="M41" i="5"/>
  <c r="L41" i="5"/>
  <c r="N41" i="5" s="1"/>
  <c r="K41" i="5"/>
  <c r="H41" i="5"/>
  <c r="G41" i="5"/>
  <c r="M40" i="5"/>
  <c r="L40" i="5"/>
  <c r="N40" i="5" s="1"/>
  <c r="K40" i="5"/>
  <c r="G40" i="5"/>
  <c r="H40" i="5" s="1"/>
  <c r="N39" i="5"/>
  <c r="M39" i="5"/>
  <c r="L39" i="5"/>
  <c r="K39" i="5"/>
  <c r="H39" i="5"/>
  <c r="G39" i="5"/>
  <c r="M38" i="5"/>
  <c r="L38" i="5"/>
  <c r="N38" i="5" s="1"/>
  <c r="K38" i="5"/>
  <c r="H38" i="5"/>
  <c r="G38" i="5"/>
  <c r="N37" i="5"/>
  <c r="M37" i="5"/>
  <c r="L37" i="5"/>
  <c r="K37" i="5"/>
  <c r="H37" i="5"/>
  <c r="G37" i="5"/>
  <c r="M36" i="5"/>
  <c r="L36" i="5"/>
  <c r="N36" i="5" s="1"/>
  <c r="K36" i="5"/>
  <c r="H36" i="5"/>
  <c r="G36" i="5"/>
  <c r="M35" i="5"/>
  <c r="L35" i="5"/>
  <c r="N35" i="5" s="1"/>
  <c r="K35" i="5"/>
  <c r="G35" i="5"/>
  <c r="H35" i="5" s="1"/>
  <c r="M34" i="5"/>
  <c r="L34" i="5"/>
  <c r="K34" i="5"/>
  <c r="G34" i="5"/>
  <c r="H34" i="5" s="1"/>
  <c r="M33" i="5"/>
  <c r="L33" i="5"/>
  <c r="N33" i="5" s="1"/>
  <c r="K33" i="5"/>
  <c r="H33" i="5"/>
  <c r="G33" i="5"/>
  <c r="M32" i="5"/>
  <c r="L32" i="5"/>
  <c r="N32" i="5" s="1"/>
  <c r="K32" i="5"/>
  <c r="G32" i="5"/>
  <c r="H32" i="5" s="1"/>
  <c r="N31" i="5"/>
  <c r="M31" i="5"/>
  <c r="L31" i="5"/>
  <c r="K31" i="5"/>
  <c r="H31" i="5"/>
  <c r="G31" i="5"/>
  <c r="M30" i="5"/>
  <c r="L30" i="5"/>
  <c r="N30" i="5" s="1"/>
  <c r="K30" i="5"/>
  <c r="G30" i="5"/>
  <c r="H30" i="5" s="1"/>
  <c r="M29" i="5"/>
  <c r="L29" i="5"/>
  <c r="N29" i="5" s="1"/>
  <c r="K29" i="5"/>
  <c r="H29" i="5"/>
  <c r="G29" i="5"/>
  <c r="M28" i="5"/>
  <c r="L28" i="5"/>
  <c r="K28" i="5"/>
  <c r="G28" i="5"/>
  <c r="H28" i="5" s="1"/>
  <c r="N27" i="5"/>
  <c r="M27" i="5"/>
  <c r="L27" i="5"/>
  <c r="K27" i="5"/>
  <c r="H27" i="5"/>
  <c r="G27" i="5"/>
  <c r="M26" i="5"/>
  <c r="L26" i="5"/>
  <c r="N26" i="5" s="1"/>
  <c r="K26" i="5"/>
  <c r="H26" i="5"/>
  <c r="G26" i="5"/>
  <c r="M25" i="5"/>
  <c r="N25" i="5" s="1"/>
  <c r="L25" i="5"/>
  <c r="K25" i="5"/>
  <c r="H25" i="5"/>
  <c r="G25" i="5"/>
  <c r="M24" i="5"/>
  <c r="L24" i="5"/>
  <c r="N24" i="5" s="1"/>
  <c r="K24" i="5"/>
  <c r="H24" i="5"/>
  <c r="G24" i="5"/>
  <c r="M23" i="5"/>
  <c r="L23" i="5"/>
  <c r="N23" i="5" s="1"/>
  <c r="K23" i="5"/>
  <c r="G23" i="5"/>
  <c r="H23" i="5" s="1"/>
  <c r="M22" i="5"/>
  <c r="L22" i="5"/>
  <c r="K22" i="5"/>
  <c r="H22" i="5"/>
  <c r="G22" i="5"/>
  <c r="M21" i="5"/>
  <c r="L21" i="5"/>
  <c r="N21" i="5" s="1"/>
  <c r="K21" i="5"/>
  <c r="G21" i="5"/>
  <c r="H21" i="5" s="1"/>
  <c r="M20" i="5"/>
  <c r="L20" i="5"/>
  <c r="N20" i="5" s="1"/>
  <c r="K20" i="5"/>
  <c r="G20" i="5"/>
  <c r="H20" i="5" s="1"/>
  <c r="N19" i="5"/>
  <c r="M19" i="5"/>
  <c r="L19" i="5"/>
  <c r="K19" i="5"/>
  <c r="H19" i="5"/>
  <c r="G19" i="5"/>
  <c r="M18" i="5"/>
  <c r="L18" i="5"/>
  <c r="N18" i="5" s="1"/>
  <c r="K18" i="5"/>
  <c r="G18" i="5"/>
  <c r="H18" i="5" s="1"/>
  <c r="M17" i="5"/>
  <c r="L17" i="5"/>
  <c r="N17" i="5" s="1"/>
  <c r="K17" i="5"/>
  <c r="G17" i="5"/>
  <c r="H17" i="5" s="1"/>
  <c r="M16" i="5"/>
  <c r="L16" i="5"/>
  <c r="K16" i="5"/>
  <c r="H16" i="5"/>
  <c r="G16" i="5"/>
  <c r="M15" i="5"/>
  <c r="L15" i="5"/>
  <c r="N15" i="5" s="1"/>
  <c r="K15" i="5"/>
  <c r="H15" i="5"/>
  <c r="G15" i="5"/>
  <c r="M14" i="5"/>
  <c r="L14" i="5"/>
  <c r="N14" i="5" s="1"/>
  <c r="K14" i="5"/>
  <c r="G14" i="5"/>
  <c r="H14" i="5" s="1"/>
  <c r="N13" i="5"/>
  <c r="M13" i="5"/>
  <c r="L13" i="5"/>
  <c r="K13" i="5"/>
  <c r="H13" i="5"/>
  <c r="G13" i="5"/>
  <c r="M12" i="5"/>
  <c r="L12" i="5"/>
  <c r="N12" i="5" s="1"/>
  <c r="K12" i="5"/>
  <c r="H12" i="5"/>
  <c r="G12" i="5"/>
  <c r="M11" i="5"/>
  <c r="N11" i="5" s="1"/>
  <c r="L11" i="5"/>
  <c r="K11" i="5"/>
  <c r="G11" i="5"/>
  <c r="H11" i="5" s="1"/>
  <c r="M10" i="5"/>
  <c r="L10" i="5"/>
  <c r="K10" i="5"/>
  <c r="G10" i="5"/>
  <c r="H10" i="5" s="1"/>
  <c r="M9" i="5"/>
  <c r="L9" i="5"/>
  <c r="N9" i="5" s="1"/>
  <c r="K9" i="5"/>
  <c r="H9" i="5"/>
  <c r="G9" i="5"/>
  <c r="M8" i="5"/>
  <c r="L8" i="5"/>
  <c r="N8" i="5" s="1"/>
  <c r="K8" i="5"/>
  <c r="G8" i="5"/>
  <c r="H8" i="5" s="1"/>
  <c r="N7" i="5"/>
  <c r="M7" i="5"/>
  <c r="L7" i="5"/>
  <c r="K7" i="5"/>
  <c r="H7" i="5"/>
  <c r="G7" i="5"/>
  <c r="M6" i="5"/>
  <c r="L6" i="5"/>
  <c r="N6" i="5" s="1"/>
  <c r="K6" i="5"/>
  <c r="G6" i="5"/>
  <c r="H6" i="5" s="1"/>
  <c r="L61" i="3"/>
  <c r="K61" i="3"/>
  <c r="J61" i="3"/>
  <c r="G61" i="3"/>
  <c r="L60" i="3"/>
  <c r="K60" i="3"/>
  <c r="J60" i="3"/>
  <c r="G60" i="3"/>
  <c r="L59" i="3"/>
  <c r="K59" i="3"/>
  <c r="J59" i="3"/>
  <c r="G59" i="3"/>
  <c r="L58" i="3"/>
  <c r="K58" i="3"/>
  <c r="J58" i="3"/>
  <c r="G58" i="3"/>
  <c r="L57" i="3"/>
  <c r="K57" i="3"/>
  <c r="J57" i="3"/>
  <c r="G57" i="3"/>
  <c r="L56" i="3"/>
  <c r="K56" i="3"/>
  <c r="J56" i="3"/>
  <c r="G56" i="3"/>
  <c r="L55" i="3"/>
  <c r="K55" i="3"/>
  <c r="J55" i="3"/>
  <c r="G55" i="3"/>
  <c r="L54" i="3"/>
  <c r="K54" i="3"/>
  <c r="J54" i="3"/>
  <c r="G54" i="3"/>
  <c r="L53" i="3"/>
  <c r="K53" i="3"/>
  <c r="J53" i="3"/>
  <c r="G53" i="3"/>
  <c r="L52" i="3"/>
  <c r="K52" i="3"/>
  <c r="J52" i="3"/>
  <c r="G52" i="3"/>
  <c r="L51" i="3"/>
  <c r="K51" i="3"/>
  <c r="J51" i="3"/>
  <c r="G51" i="3"/>
  <c r="L50" i="3"/>
  <c r="K50" i="3"/>
  <c r="J50" i="3"/>
  <c r="G50" i="3"/>
  <c r="L49" i="3"/>
  <c r="K49" i="3"/>
  <c r="J49" i="3"/>
  <c r="G49" i="3"/>
  <c r="L48" i="3"/>
  <c r="K48" i="3"/>
  <c r="J48" i="3"/>
  <c r="G48" i="3"/>
  <c r="L47" i="3"/>
  <c r="K47" i="3"/>
  <c r="J47" i="3"/>
  <c r="G47" i="3"/>
  <c r="L46" i="3"/>
  <c r="K46" i="3"/>
  <c r="J46" i="3"/>
  <c r="G46" i="3"/>
  <c r="L45" i="3"/>
  <c r="K45" i="3"/>
  <c r="J45" i="3"/>
  <c r="G45" i="3"/>
  <c r="L44" i="3"/>
  <c r="K44" i="3"/>
  <c r="J44" i="3"/>
  <c r="G44" i="3"/>
  <c r="L43" i="3"/>
  <c r="K43" i="3"/>
  <c r="J43" i="3"/>
  <c r="G43" i="3"/>
  <c r="L42" i="3"/>
  <c r="K42" i="3"/>
  <c r="J42" i="3"/>
  <c r="G42" i="3"/>
  <c r="L41" i="3"/>
  <c r="K41" i="3"/>
  <c r="J41" i="3"/>
  <c r="G41" i="3"/>
  <c r="L40" i="3"/>
  <c r="K40" i="3"/>
  <c r="J40" i="3"/>
  <c r="G40" i="3"/>
  <c r="L39" i="3"/>
  <c r="K39" i="3"/>
  <c r="J39" i="3"/>
  <c r="G39" i="3"/>
  <c r="L38" i="3"/>
  <c r="K38" i="3"/>
  <c r="J38" i="3"/>
  <c r="G38" i="3"/>
  <c r="L37" i="3"/>
  <c r="K37" i="3"/>
  <c r="J37" i="3"/>
  <c r="G37" i="3"/>
  <c r="L36" i="3"/>
  <c r="K36" i="3"/>
  <c r="J36" i="3"/>
  <c r="G36" i="3"/>
  <c r="L35" i="3"/>
  <c r="K35" i="3"/>
  <c r="J35" i="3"/>
  <c r="G35" i="3"/>
  <c r="L34" i="3"/>
  <c r="K34" i="3"/>
  <c r="J34" i="3"/>
  <c r="G34" i="3"/>
  <c r="L33" i="3"/>
  <c r="K33" i="3"/>
  <c r="J33" i="3"/>
  <c r="G33" i="3"/>
  <c r="L32" i="3"/>
  <c r="K32" i="3"/>
  <c r="J32" i="3"/>
  <c r="G32" i="3"/>
  <c r="L31" i="3"/>
  <c r="K31" i="3"/>
  <c r="J31" i="3"/>
  <c r="G31" i="3"/>
  <c r="L30" i="3"/>
  <c r="K30" i="3"/>
  <c r="J30" i="3"/>
  <c r="G30" i="3"/>
  <c r="L29" i="3"/>
  <c r="K29" i="3"/>
  <c r="J29" i="3"/>
  <c r="G29" i="3"/>
  <c r="L28" i="3"/>
  <c r="K28" i="3"/>
  <c r="J28" i="3"/>
  <c r="G28" i="3"/>
  <c r="L27" i="3"/>
  <c r="K27" i="3"/>
  <c r="J27" i="3"/>
  <c r="G27" i="3"/>
  <c r="L26" i="3"/>
  <c r="K26" i="3"/>
  <c r="J26" i="3"/>
  <c r="G26" i="3"/>
  <c r="L25" i="3"/>
  <c r="K25" i="3"/>
  <c r="J25" i="3"/>
  <c r="G25" i="3"/>
  <c r="L24" i="3"/>
  <c r="K24" i="3"/>
  <c r="J24" i="3"/>
  <c r="G24" i="3"/>
  <c r="L23" i="3"/>
  <c r="K23" i="3"/>
  <c r="J23" i="3"/>
  <c r="G23" i="3"/>
  <c r="L22" i="3"/>
  <c r="K22" i="3"/>
  <c r="J22" i="3"/>
  <c r="G22" i="3"/>
  <c r="L21" i="3"/>
  <c r="K21" i="3"/>
  <c r="J21" i="3"/>
  <c r="G21" i="3"/>
  <c r="L20" i="3"/>
  <c r="K20" i="3"/>
  <c r="J20" i="3"/>
  <c r="G20" i="3"/>
  <c r="L19" i="3"/>
  <c r="K19" i="3"/>
  <c r="J19" i="3"/>
  <c r="G19" i="3"/>
  <c r="L18" i="3"/>
  <c r="K18" i="3"/>
  <c r="J18" i="3"/>
  <c r="G18" i="3"/>
  <c r="L17" i="3"/>
  <c r="K17" i="3"/>
  <c r="J17" i="3"/>
  <c r="G17" i="3"/>
  <c r="L16" i="3"/>
  <c r="K16" i="3"/>
  <c r="J16" i="3"/>
  <c r="G16" i="3"/>
  <c r="L15" i="3"/>
  <c r="K15" i="3"/>
  <c r="J15" i="3"/>
  <c r="G15" i="3"/>
  <c r="L14" i="3"/>
  <c r="K14" i="3"/>
  <c r="J14" i="3"/>
  <c r="G14" i="3"/>
  <c r="L13" i="3"/>
  <c r="K13" i="3"/>
  <c r="J13" i="3"/>
  <c r="G13" i="3"/>
  <c r="L12" i="3"/>
  <c r="K12" i="3"/>
  <c r="J12" i="3"/>
  <c r="G12" i="3"/>
  <c r="L11" i="3"/>
  <c r="K11" i="3"/>
  <c r="J11" i="3"/>
  <c r="G11" i="3"/>
  <c r="L10" i="3"/>
  <c r="K10" i="3"/>
  <c r="J10" i="3"/>
  <c r="G10" i="3"/>
  <c r="L9" i="3"/>
  <c r="K9" i="3"/>
  <c r="J9" i="3"/>
  <c r="G9" i="3"/>
  <c r="L8" i="3"/>
  <c r="K8" i="3"/>
  <c r="J8" i="3"/>
  <c r="G8" i="3"/>
  <c r="L7" i="3"/>
  <c r="K7" i="3"/>
  <c r="J7" i="3"/>
  <c r="G7" i="3"/>
  <c r="L6" i="3"/>
  <c r="K6" i="3"/>
  <c r="J6" i="3"/>
  <c r="G6" i="3"/>
  <c r="J10" i="2"/>
  <c r="I10" i="2"/>
  <c r="K10" i="2" s="1"/>
  <c r="K11" i="1" s="1"/>
  <c r="H10" i="2"/>
  <c r="D10" i="2"/>
  <c r="E10" i="2" s="1"/>
  <c r="E11" i="1" s="1"/>
  <c r="J9" i="2"/>
  <c r="J10" i="1" s="1"/>
  <c r="I9" i="2"/>
  <c r="I10" i="1" s="1"/>
  <c r="H9" i="2"/>
  <c r="D9" i="2"/>
  <c r="E9" i="2" s="1"/>
  <c r="E10" i="1" s="1"/>
  <c r="J8" i="2"/>
  <c r="I8" i="2"/>
  <c r="H8" i="2"/>
  <c r="D8" i="2"/>
  <c r="D9" i="1" s="1"/>
  <c r="J7" i="2"/>
  <c r="K7" i="2" s="1"/>
  <c r="K8" i="1" s="1"/>
  <c r="I7" i="2"/>
  <c r="H7" i="2"/>
  <c r="H8" i="1" s="1"/>
  <c r="D7" i="2"/>
  <c r="E7" i="2" s="1"/>
  <c r="E8" i="1" s="1"/>
  <c r="J6" i="2"/>
  <c r="J7" i="1" s="1"/>
  <c r="I6" i="2"/>
  <c r="K6" i="2" s="1"/>
  <c r="K7" i="1" s="1"/>
  <c r="H6" i="2"/>
  <c r="D6" i="2"/>
  <c r="E6" i="2" s="1"/>
  <c r="E7" i="1" s="1"/>
  <c r="M11" i="1"/>
  <c r="L11" i="1"/>
  <c r="J11" i="1"/>
  <c r="I11" i="1"/>
  <c r="H11" i="1"/>
  <c r="G11" i="1"/>
  <c r="F11" i="1"/>
  <c r="D11" i="1"/>
  <c r="C11" i="1"/>
  <c r="B11" i="1"/>
  <c r="M10" i="1"/>
  <c r="L10" i="1"/>
  <c r="H10" i="1"/>
  <c r="G10" i="1"/>
  <c r="F10" i="1"/>
  <c r="D10" i="1"/>
  <c r="C10" i="1"/>
  <c r="B10" i="1"/>
  <c r="M9" i="1"/>
  <c r="L9" i="1"/>
  <c r="J9" i="1"/>
  <c r="I9" i="1"/>
  <c r="H9" i="1"/>
  <c r="G9" i="1"/>
  <c r="F9" i="1"/>
  <c r="C9" i="1"/>
  <c r="B9" i="1"/>
  <c r="M8" i="1"/>
  <c r="L8" i="1"/>
  <c r="J8" i="1"/>
  <c r="I8" i="1"/>
  <c r="G8" i="1"/>
  <c r="F8" i="1"/>
  <c r="C8" i="1"/>
  <c r="B8" i="1"/>
  <c r="M7" i="1"/>
  <c r="L7" i="1"/>
  <c r="H7" i="1"/>
  <c r="G7" i="1"/>
  <c r="F7" i="1"/>
  <c r="D7" i="1"/>
  <c r="C7" i="1"/>
  <c r="B7" i="1"/>
  <c r="K26" i="7" l="1"/>
  <c r="K28" i="7"/>
  <c r="L58" i="6"/>
  <c r="L68" i="6"/>
  <c r="L122" i="6"/>
  <c r="L144" i="6"/>
  <c r="L190" i="6"/>
  <c r="L87" i="6"/>
  <c r="L130" i="6"/>
  <c r="L132" i="6"/>
  <c r="L154" i="6"/>
  <c r="L170" i="6"/>
  <c r="L7" i="6"/>
  <c r="L10" i="6"/>
  <c r="L15" i="6"/>
  <c r="L18" i="6"/>
  <c r="L23" i="6"/>
  <c r="L26" i="6"/>
  <c r="L31" i="6"/>
  <c r="L34" i="6"/>
  <c r="L39" i="6"/>
  <c r="L42" i="6"/>
  <c r="L47" i="6"/>
  <c r="L50" i="6"/>
  <c r="L53" i="6"/>
  <c r="L60" i="6"/>
  <c r="L65" i="6"/>
  <c r="L66" i="6"/>
  <c r="L89" i="6"/>
  <c r="L92" i="6"/>
  <c r="L98" i="6"/>
  <c r="L125" i="6"/>
  <c r="L126" i="6"/>
  <c r="L141" i="6"/>
  <c r="L142" i="6"/>
  <c r="L147" i="6"/>
  <c r="L157" i="6"/>
  <c r="L175" i="6"/>
  <c r="L179" i="6"/>
  <c r="L180" i="6"/>
  <c r="L187" i="6"/>
  <c r="L193" i="6"/>
  <c r="K25" i="7"/>
  <c r="K22" i="7"/>
  <c r="K23" i="7"/>
  <c r="K27" i="7"/>
  <c r="K24" i="7"/>
  <c r="L12" i="6"/>
  <c r="L20" i="6"/>
  <c r="L28" i="6"/>
  <c r="L36" i="6"/>
  <c r="L44" i="6"/>
  <c r="L55" i="6"/>
  <c r="L63" i="6"/>
  <c r="L81" i="6"/>
  <c r="L105" i="6"/>
  <c r="L113" i="6"/>
  <c r="L121" i="6"/>
  <c r="L129" i="6"/>
  <c r="L153" i="6"/>
  <c r="L169" i="6"/>
  <c r="L189" i="6"/>
  <c r="L52" i="6"/>
  <c r="L97" i="6"/>
  <c r="L106" i="6"/>
  <c r="L114" i="6"/>
  <c r="L134" i="6"/>
  <c r="L8" i="6"/>
  <c r="L16" i="6"/>
  <c r="L24" i="6"/>
  <c r="L32" i="6"/>
  <c r="L40" i="6"/>
  <c r="L48" i="6"/>
  <c r="L56" i="6"/>
  <c r="L64" i="6"/>
  <c r="L72" i="6"/>
  <c r="L80" i="6"/>
  <c r="L88" i="6"/>
  <c r="L96" i="6"/>
  <c r="L104" i="6"/>
  <c r="L112" i="6"/>
  <c r="L120" i="6"/>
  <c r="L124" i="6"/>
  <c r="L128" i="6"/>
  <c r="L131" i="6"/>
  <c r="L133" i="6"/>
  <c r="L136" i="6"/>
  <c r="L138" i="6"/>
  <c r="L145" i="6"/>
  <c r="L146" i="6"/>
  <c r="L149" i="6"/>
  <c r="L151" i="6"/>
  <c r="L152" i="6"/>
  <c r="L155" i="6"/>
  <c r="L156" i="6"/>
  <c r="L159" i="6"/>
  <c r="L161" i="6"/>
  <c r="L163" i="6"/>
  <c r="L165" i="6"/>
  <c r="L167" i="6"/>
  <c r="L168" i="6"/>
  <c r="L174" i="6"/>
  <c r="L188" i="6"/>
  <c r="L192" i="6"/>
  <c r="L6" i="6"/>
  <c r="L14" i="6"/>
  <c r="L22" i="6"/>
  <c r="L30" i="6"/>
  <c r="L38" i="6"/>
  <c r="L46" i="6"/>
  <c r="L54" i="6"/>
  <c r="L62" i="6"/>
  <c r="L70" i="6"/>
  <c r="L78" i="6"/>
  <c r="L86" i="6"/>
  <c r="L94" i="6"/>
  <c r="L102" i="6"/>
  <c r="L110" i="6"/>
  <c r="L118" i="6"/>
  <c r="L140" i="6"/>
  <c r="L178" i="6"/>
  <c r="L182" i="6"/>
  <c r="L186" i="6"/>
  <c r="L196" i="6"/>
  <c r="N51" i="5"/>
  <c r="N57" i="5"/>
  <c r="N83" i="5"/>
  <c r="N92" i="5"/>
  <c r="N10" i="5"/>
  <c r="N118" i="5"/>
  <c r="N16" i="5"/>
  <c r="N22" i="5"/>
  <c r="N28" i="5"/>
  <c r="N34" i="5"/>
  <c r="N42" i="5"/>
  <c r="N50" i="5"/>
  <c r="N56" i="5"/>
  <c r="N64" i="5"/>
  <c r="N82" i="5"/>
  <c r="N88" i="5"/>
  <c r="N94" i="5"/>
  <c r="N108" i="5"/>
  <c r="N116" i="5"/>
  <c r="N124" i="5"/>
  <c r="N132" i="5"/>
  <c r="N140" i="5"/>
  <c r="N148" i="5"/>
  <c r="N156" i="5"/>
  <c r="N164" i="5"/>
  <c r="N172" i="5"/>
  <c r="I7" i="1"/>
  <c r="E8" i="2"/>
  <c r="E9" i="1" s="1"/>
  <c r="K9" i="2"/>
  <c r="K10" i="1" s="1"/>
  <c r="D8" i="1"/>
  <c r="K8" i="2"/>
  <c r="K9" i="1" s="1"/>
</calcChain>
</file>

<file path=xl/sharedStrings.xml><?xml version="1.0" encoding="utf-8"?>
<sst xmlns="http://schemas.openxmlformats.org/spreadsheetml/2006/main" count="1242" uniqueCount="324">
  <si>
    <t>14 дней работы: август и сентябрь 2026</t>
  </si>
  <si>
    <t>Подразделение</t>
  </si>
  <si>
    <t>Август, услуг</t>
  </si>
  <si>
    <t>Сентябрь, услуг</t>
  </si>
  <si>
    <t>Разница</t>
  </si>
  <si>
    <t>Изменение</t>
  </si>
  <si>
    <t>Август, руб.</t>
  </si>
  <si>
    <t>Сентябрь, руб.</t>
  </si>
  <si>
    <t>Разница, руб.</t>
  </si>
  <si>
    <t>Средняя стоимость, август</t>
  </si>
  <si>
    <t>Средняя стоимость, сентябрь</t>
  </si>
  <si>
    <t>Разница средней</t>
  </si>
  <si>
    <t>Врачей, август</t>
  </si>
  <si>
    <t>Врачей, сентябрь</t>
  </si>
  <si>
    <t>ЦЖЗ на Лобненской</t>
  </si>
  <si>
    <t>ЦЖЗ на Петрозаводской</t>
  </si>
  <si>
    <t>ЦЖЗ на Планетной</t>
  </si>
  <si>
    <t>ЖК №10</t>
  </si>
  <si>
    <t>ИТОГО</t>
  </si>
  <si>
    <t>Крупнейший рост по кодам — все подразделения</t>
  </si>
  <si>
    <t>Крупнейшее снижение по кодам — все подразделения</t>
  </si>
  <si>
    <t>Код</t>
  </si>
  <si>
    <t>Услуга</t>
  </si>
  <si>
    <t>Август</t>
  </si>
  <si>
    <t>Сентябрь</t>
  </si>
  <si>
    <t>Расширенная кольпоскопия и вульвоскопия</t>
  </si>
  <si>
    <t>Прием врача-акушера-гинеколога, амбулаторный (наблюдение беременности)</t>
  </si>
  <si>
    <t>УЗИ внутренних женских половых органов</t>
  </si>
  <si>
    <t>Нестрессовый тест плода</t>
  </si>
  <si>
    <t>УЗИ мягких тканей, лимфатических узлов</t>
  </si>
  <si>
    <t>Прием врача-акушера-гинеколога лечебно-диагностический, первичный, амб.</t>
  </si>
  <si>
    <t>УЗИ молочных желез</t>
  </si>
  <si>
    <t>Прием врача-терапевта диспансерный, амб.</t>
  </si>
  <si>
    <t>УЗ-допплерография магистральных сосудов внутренних органов</t>
  </si>
  <si>
    <t>Взятие крови из вены, кровопускание</t>
  </si>
  <si>
    <t>Прием больных мед.сестрой (фельдш.,акушеркой) доврач., смотр. кабинета</t>
  </si>
  <si>
    <t>Прием врача-эндокринолога лечебно-диагностический</t>
  </si>
  <si>
    <t>Сравнение подразделений за 14 дней</t>
  </si>
  <si>
    <t>Август, кол.</t>
  </si>
  <si>
    <t>Сентябрь, кол.</t>
  </si>
  <si>
    <t>Кодов, август</t>
  </si>
  <si>
    <t>Кодов, сентябрь</t>
  </si>
  <si>
    <t>Новых кодов</t>
  </si>
  <si>
    <t>Нет в сентябре</t>
  </si>
  <si>
    <t>Какие услуги изменились сильнее всего</t>
  </si>
  <si>
    <t>Для каждого подразделения показано до 7 крупнейших ростов и снижений. Полный перечень кодов находится на листе «Все услуги».</t>
  </si>
  <si>
    <t>Направление</t>
  </si>
  <si>
    <t>Рост</t>
  </si>
  <si>
    <t>Прием врача-акушера-гинеколога лечебно-диагностический, повторный, амб.</t>
  </si>
  <si>
    <t>Забор материала на флору</t>
  </si>
  <si>
    <t>ФКГ плода</t>
  </si>
  <si>
    <t>Диспансеризация женщин в возрасте 30-49 лет по оценке репродуктивного здоровья I этап</t>
  </si>
  <si>
    <t>Снижение</t>
  </si>
  <si>
    <t>Скрининговое ультразвуковое исследование беременной и плода во II триместре (в сроки 19 - 21 неделя)</t>
  </si>
  <si>
    <t>Внутримышечная, подкожная инъекция</t>
  </si>
  <si>
    <t>Выскабливание цервикального канала и/или удаление полипа цервикального канала</t>
  </si>
  <si>
    <t>УЗИ брюшной полости на свободную жидкость</t>
  </si>
  <si>
    <t>Послеоперационная обработка шейки матки, влагалища, снятие швов, удаление инородных тел из влагалища</t>
  </si>
  <si>
    <t>УЗ-допплерография в дуплексном режиме парных сосудов (артерий или вен) (за исключением ультразвуковой допплерографии брахиоцефальных артерий)</t>
  </si>
  <si>
    <t>Удаление внутриматочной спирали</t>
  </si>
  <si>
    <t>Удаление доброкачественной опухоли кожи, мягких тканей, слизистой оболочки</t>
  </si>
  <si>
    <t>Забор материала на цитологическое исследование и КПИ</t>
  </si>
  <si>
    <t>УЗИ мочевого пузыря</t>
  </si>
  <si>
    <t>Диспансеризация женщин в возрасте 18-29 лет по оценке репродуктивного здоровья I этап</t>
  </si>
  <si>
    <t>Прием врача-акушера-гинеколога лечебно-диагностический, повторный на дому</t>
  </si>
  <si>
    <t>Прием врача-акушера-гинеколога лечебно-диагностический, первичный на дому</t>
  </si>
  <si>
    <t>УЗ-допплерография маточно-плацентарного кровотока</t>
  </si>
  <si>
    <t>УЗИ матки и плода во втором и третьем триместре беременности</t>
  </si>
  <si>
    <t>Скрининговое ультразвуковое исследование беременной и плода в III триместре (в сроки 34 ? 36 недель)</t>
  </si>
  <si>
    <t>Группа</t>
  </si>
  <si>
    <t>Беременность и наблюдение плода</t>
  </si>
  <si>
    <t>Гинекологические процедуры</t>
  </si>
  <si>
    <t>Забор материалов и кровь</t>
  </si>
  <si>
    <t>Приёмы и консультации</t>
  </si>
  <si>
    <t>Репродуктивная диспансеризация</t>
  </si>
  <si>
    <t>УЗИ и инструментальная диагностика</t>
  </si>
  <si>
    <t>Другие услуги</t>
  </si>
  <si>
    <t>Полная расшифровка по кодам услуг</t>
  </si>
  <si>
    <t>Используйте фильтры по подразделению, группе и статусу. Разница = сентябрь минус август; ноль означает, что код отсутствовал в соответствующем периоде.</t>
  </si>
  <si>
    <t>Обзорная Rg-графия молочной железы в двух проекциях</t>
  </si>
  <si>
    <t>ЭКГ (в 12-ти отведениях)</t>
  </si>
  <si>
    <t>Забор материала на бактериологическое исследование</t>
  </si>
  <si>
    <t>Консультация врача-терапевта</t>
  </si>
  <si>
    <t>Длительное мониторирование артериального давления свободно передвигающегося человека</t>
  </si>
  <si>
    <t>Скрининговое ультразвуковое исследование беременной и плода в I триместре (в сроки 11 - 14 недель)</t>
  </si>
  <si>
    <t>Аспирационная биопсия эндометрия</t>
  </si>
  <si>
    <t>Занятия в "Школе матерей"</t>
  </si>
  <si>
    <t>УЗИ в первом триместре беременности</t>
  </si>
  <si>
    <t>Биопсия шейки матки</t>
  </si>
  <si>
    <t>Прием врача-акушера-гинеколога диспансерный, амб.</t>
  </si>
  <si>
    <t>Прием врача-акушера-гинеколога первичный, амбулаторный (постановка на диспансерный учет по беременности)</t>
  </si>
  <si>
    <t>Биопсия вульвы</t>
  </si>
  <si>
    <t>Холтеровское мониторирование при длительности мониторирования до 24 часов</t>
  </si>
  <si>
    <t>Введение внутриматочной спирали</t>
  </si>
  <si>
    <t>Введение, извлечение влагалищного поддерживающего кольца (пессария)</t>
  </si>
  <si>
    <t>Прием врача-акушера-гинеколога профилактический, амб.</t>
  </si>
  <si>
    <t>Радиоволновая терапия шейки матки</t>
  </si>
  <si>
    <t>Электроэксцизия новообразования шейки матки</t>
  </si>
  <si>
    <t>Электроэксцизия новообразования вульвы</t>
  </si>
  <si>
    <t>Ректовагинальный осмотр</t>
  </si>
  <si>
    <t>Прием врача-акушера-гинеколога (послеродовый период, родильницы до 42 дней)</t>
  </si>
  <si>
    <t>Гистеросонография</t>
  </si>
  <si>
    <t>Дополнительное ЭКГ-исследование в 3-х отведениях (дополнительно к 22.101 и 22.109)</t>
  </si>
  <si>
    <t>Исследование антигена Aspergillus terreus (НРИФ) ESLI.LI.3.1546</t>
  </si>
  <si>
    <t>УЗИ почек, надпочечников и забрюшинного пространства</t>
  </si>
  <si>
    <t>УЗИ органов гепатобилиарной системы ( печень, желч. пузырь и желч. протоки, поджелудочная железа)</t>
  </si>
  <si>
    <t>Аппликационная анестезия</t>
  </si>
  <si>
    <t>Криодеструкция доброкачественных новообразований женских половых органов</t>
  </si>
  <si>
    <t>УЗИ щитовидной железы</t>
  </si>
  <si>
    <t>Массаж верхних конечностей детям раннего возраста</t>
  </si>
  <si>
    <t>Снятие послеоперационных швов, лигатур</t>
  </si>
  <si>
    <t>Сравнение по врачам</t>
  </si>
  <si>
    <t>Врач</t>
  </si>
  <si>
    <t>СОЛОМАХИНА Ю. Н.</t>
  </si>
  <si>
    <t>МАМЕДОВА И. Ю.</t>
  </si>
  <si>
    <t>КАРГИНА О. О.</t>
  </si>
  <si>
    <t>МУСАТ А. Е.</t>
  </si>
  <si>
    <t>ПРОХОРЕНКО Я. В.</t>
  </si>
  <si>
    <t>НОВИКОВА Н. И.</t>
  </si>
  <si>
    <t>РАЗАКОВА Ж. Г.</t>
  </si>
  <si>
    <t>ВОЗНЕСЕНСКАЯ С. И.</t>
  </si>
  <si>
    <t>ФЕДОРОВА М. С.</t>
  </si>
  <si>
    <t>КУЛИКОВА В. И.</t>
  </si>
  <si>
    <t>КИРИЛЛОВА А. П.</t>
  </si>
  <si>
    <t>МАНУКЯН Е. М.</t>
  </si>
  <si>
    <t>БАРАНОВ Р. А.</t>
  </si>
  <si>
    <t>СЕЛИВАНОВА Г. А.</t>
  </si>
  <si>
    <t>БОРМИНА С. О.</t>
  </si>
  <si>
    <t>САМОЙЛОВА Л. А.</t>
  </si>
  <si>
    <t>ИЛЬЧЕНКО Н. Н.</t>
  </si>
  <si>
    <t>ПАВЛОВА С. В.</t>
  </si>
  <si>
    <t>ГАДЖИБУТДАЕВА З. М.</t>
  </si>
  <si>
    <t>ПЛАТИЦИНА Е. Е.</t>
  </si>
  <si>
    <t>САМОЙЛОВА Н. В.</t>
  </si>
  <si>
    <t>ВАСИЛЬЕВ А. Р.</t>
  </si>
  <si>
    <t>БУБНОВА С. В.</t>
  </si>
  <si>
    <t>НОВИКОВА Е. А.</t>
  </si>
  <si>
    <t>СМИРНОВА М. Ю.</t>
  </si>
  <si>
    <t>ГЕГКИЕВА К. И.</t>
  </si>
  <si>
    <t>ЯСТРЕБЦЕВА А. А.</t>
  </si>
  <si>
    <t>АЗАРЯН А. Н.</t>
  </si>
  <si>
    <t>УГРИНОВА М. О.</t>
  </si>
  <si>
    <t>ПЫШИНА Ю. В.</t>
  </si>
  <si>
    <t>СВИРЧЕНКОВА А. С.</t>
  </si>
  <si>
    <t>ДРУЖИНИНА Н. М.</t>
  </si>
  <si>
    <t>ЧУЙКОВА Е. Н.</t>
  </si>
  <si>
    <t>СМИРНОВ С. С.</t>
  </si>
  <si>
    <t>ИВАНЦОВА Т. А.</t>
  </si>
  <si>
    <t>ГОНЧАР Т. С.</t>
  </si>
  <si>
    <t>ЗАХАРОВА Е. В.</t>
  </si>
  <si>
    <t>МАМИНА А. И.</t>
  </si>
  <si>
    <t>ЛЯЛИНА Д. В.</t>
  </si>
  <si>
    <t>МАМЕДОВА Г. З.</t>
  </si>
  <si>
    <t>КОРНЕЕВА Е. В.</t>
  </si>
  <si>
    <t>ВОЛКОВА Е. В.</t>
  </si>
  <si>
    <t>ДОЦЕНКО Е. В.</t>
  </si>
  <si>
    <t>БРАЖНИК Н. Н.</t>
  </si>
  <si>
    <t>ХАНИКЯН А. Ж.</t>
  </si>
  <si>
    <t>МАТРЕНИНА И. В.</t>
  </si>
  <si>
    <t>КОШЕЛЕВ А. А.</t>
  </si>
  <si>
    <t>РАЧКОВА О. А.</t>
  </si>
  <si>
    <t>САЛАХОВА А. Р.</t>
  </si>
  <si>
    <t>МОСКАЛЕВА Ю. Ю.</t>
  </si>
  <si>
    <t>БЕЛОВА К. С.</t>
  </si>
  <si>
    <t>ЮЛЬЯКШИЕВА Л. С.</t>
  </si>
  <si>
    <t>БУТОВА Е. О.</t>
  </si>
  <si>
    <t>БОГОМОЛОВА О. В.</t>
  </si>
  <si>
    <t>ГРИГОРЯН Л. С.</t>
  </si>
  <si>
    <t>СМОЛИНА М. В.</t>
  </si>
  <si>
    <t>СИТНИКОВА С. В.</t>
  </si>
  <si>
    <t>КУЗЬМИНА С. В.</t>
  </si>
  <si>
    <t>ТИТОВА Т. И.</t>
  </si>
  <si>
    <t>ГУДКОВА С. А.</t>
  </si>
  <si>
    <t>ШОШИАШВИЛИ Н. Ф.</t>
  </si>
  <si>
    <t>ЭМУХВАРИ А. Т.</t>
  </si>
  <si>
    <t>ВОРОНЦОВА Н. А.</t>
  </si>
  <si>
    <t>ГИРЛИНА С. В.</t>
  </si>
  <si>
    <t>МУРТУЗАЛИЕВА З. З.</t>
  </si>
  <si>
    <t>ШЕНГЕЛИЯ Е. Г.</t>
  </si>
  <si>
    <t>ДЗАУРОВА Х. А.</t>
  </si>
  <si>
    <t>РЫБАКОВ А. Н.</t>
  </si>
  <si>
    <t>ГЛАДКОВА А. Г.</t>
  </si>
  <si>
    <t>МУРАДОВА Х. Н.</t>
  </si>
  <si>
    <t>МУРАЧЕВА Е. А.</t>
  </si>
  <si>
    <t>БУРЕНИНА И. А.</t>
  </si>
  <si>
    <t>БУДЬКО М. В.</t>
  </si>
  <si>
    <t>ИВАНОВ В. И.</t>
  </si>
  <si>
    <t>ВЕЧТОМОВА И. А.</t>
  </si>
  <si>
    <t>КОЛЕСНИКОВА Т. Ю.</t>
  </si>
  <si>
    <t>ПОЛЫГАЛОВА Е. Г.</t>
  </si>
  <si>
    <t>СЫРБУ Т. Н.</t>
  </si>
  <si>
    <t>ИРИСХАНОВА З. А.</t>
  </si>
  <si>
    <t>ХАСМАМЕДОВА Г. Н.</t>
  </si>
  <si>
    <t>КУШНИР Р. Х.</t>
  </si>
  <si>
    <t>МОСАЛЕВА И. В.</t>
  </si>
  <si>
    <t>КУКЛИНА О. В.</t>
  </si>
  <si>
    <t>НЕРСИСЯН Д. Г.</t>
  </si>
  <si>
    <t>КАЛИНЫЧЕВА Г. Е.</t>
  </si>
  <si>
    <t>САВЧЕНКО И. Н.</t>
  </si>
  <si>
    <t>КУРБАЙТАЕВА С. Р.</t>
  </si>
  <si>
    <t>КОМЛЕВА Д. Н.</t>
  </si>
  <si>
    <t>ШАЛАЕВСКАЯ Н. В.</t>
  </si>
  <si>
    <t>ЛАУШКИНА А. А.</t>
  </si>
  <si>
    <t>СКОПИЧ А. А.</t>
  </si>
  <si>
    <t>ПОМЯТУН К. С.</t>
  </si>
  <si>
    <t>МАСЛОВА С. Н.</t>
  </si>
  <si>
    <t>КУРБАНОВА Е. А.</t>
  </si>
  <si>
    <t>ЗАФИРИДИ Н. В.</t>
  </si>
  <si>
    <t>КРАСЕВА О. М.</t>
  </si>
  <si>
    <t>СААКЯН Н. Р.</t>
  </si>
  <si>
    <t>ПОЛЯК Н. В.</t>
  </si>
  <si>
    <t>ГУРДОВА А. Р.</t>
  </si>
  <si>
    <t>ЛИПНЯГОВА Е. А.</t>
  </si>
  <si>
    <t>КЛЮЧЕРЕВА Л. Ю.</t>
  </si>
  <si>
    <t>ДЕТКОВСКАЯ Е. Н.</t>
  </si>
  <si>
    <t>АМОНОВА Д. Ф.</t>
  </si>
  <si>
    <t>МАГАМАДОВА Т. Р.</t>
  </si>
  <si>
    <t>ВОЛОСАТОВА Н. М.</t>
  </si>
  <si>
    <t>ФИЦЕВА Ж. Б.</t>
  </si>
  <si>
    <t>ЧЕРНЯВСКАЯ М. Ю.</t>
  </si>
  <si>
    <t>БАЛАШКИНА Н. В.</t>
  </si>
  <si>
    <t>СЕВОСТЬЯНОВА Д. А.</t>
  </si>
  <si>
    <t>ШЛЯХТА А. М.</t>
  </si>
  <si>
    <t>КУЗНЕЦОВА Е. А.</t>
  </si>
  <si>
    <t>ХОТЕЕНКОВА А. С.</t>
  </si>
  <si>
    <t>ФОКИНА Е. Г.</t>
  </si>
  <si>
    <t>ВЕРЕИНА Ю. М.</t>
  </si>
  <si>
    <t>НАЙЕЛЬ С. Р.</t>
  </si>
  <si>
    <t>СКУДАРЕВА Т. Г.</t>
  </si>
  <si>
    <t>НАСРЕДИНОВА М. З.</t>
  </si>
  <si>
    <t>ЯКОВЛЕВА Э. Л.</t>
  </si>
  <si>
    <t>ТАТАРЕНКО Н. А.</t>
  </si>
  <si>
    <t>РУМЯНЦЕВА И. В.</t>
  </si>
  <si>
    <t>РОМАНОВА Э. А.</t>
  </si>
  <si>
    <t>ЯРАШЕВА А. М.</t>
  </si>
  <si>
    <t>БЕРЁЗОВА А. Э.</t>
  </si>
  <si>
    <t>КОРОЛЕВА Ю. Ю.</t>
  </si>
  <si>
    <t>АЛБАКОВА Л. М.</t>
  </si>
  <si>
    <t>КУРИЛЬЧИК Н. Н.</t>
  </si>
  <si>
    <t>СЫЧЕВА В. Х.</t>
  </si>
  <si>
    <t>ШИРИТОВА А. А.</t>
  </si>
  <si>
    <t>ГИРИНА К. Е.</t>
  </si>
  <si>
    <t>ШЕВХУЖЕВА З. А.</t>
  </si>
  <si>
    <t>СЕМКИНА Н. Е.</t>
  </si>
  <si>
    <t>ПОНОМАРЕВА А. В.</t>
  </si>
  <si>
    <t>ДУЛЬЦЕВА Д. П.</t>
  </si>
  <si>
    <t>ГЕРАСЬКИНА М. Н.</t>
  </si>
  <si>
    <t>ЕВСЕЕВА Т. В.</t>
  </si>
  <si>
    <t>МУХАМЕТЬЯРОВА Э. Ю.</t>
  </si>
  <si>
    <t>НОВИКОВА Л. И.</t>
  </si>
  <si>
    <t>СЕДОВА Г. В.</t>
  </si>
  <si>
    <t>ДЕМИНА А. В.</t>
  </si>
  <si>
    <t>ТРЕМБИЧЕВ И. В.</t>
  </si>
  <si>
    <t>КУЩИЙ О. В.</t>
  </si>
  <si>
    <t>БОГДАНОВА Н. С.</t>
  </si>
  <si>
    <t>САЛИМОВА Л. Г.</t>
  </si>
  <si>
    <t>ГОРЛОВА Т. Ю.</t>
  </si>
  <si>
    <t>КИСЕЛЕВА О. С.</t>
  </si>
  <si>
    <t>ВЯТКИНА А. В.</t>
  </si>
  <si>
    <t>ЯКУБОВ Р. В.</t>
  </si>
  <si>
    <t>МЕГРЕЛИДЗЕ М. С.</t>
  </si>
  <si>
    <t>ТРЕБУНСКИХ Е. А.</t>
  </si>
  <si>
    <t>ШУТОВА Д. А.</t>
  </si>
  <si>
    <t>ИРЕМАДЗЕ И. Р.</t>
  </si>
  <si>
    <t>НОВИКОВА Т. Г.</t>
  </si>
  <si>
    <t>ВАЛЕЕВА Д. Р.</t>
  </si>
  <si>
    <t>ЧЕРНЕНКО О. В.</t>
  </si>
  <si>
    <t>УДАЛОВА М. В.</t>
  </si>
  <si>
    <t>МИШУТИНА А. А.</t>
  </si>
  <si>
    <t>ПУШТОВА М. С.</t>
  </si>
  <si>
    <t>ИВАНОВА А. В.</t>
  </si>
  <si>
    <t>КОМОВА Т. А.</t>
  </si>
  <si>
    <t>ЖУКОВА С. М.</t>
  </si>
  <si>
    <t>БЕЛОМЫТЦЕВА Т. В.</t>
  </si>
  <si>
    <t>МЫЦАК А. А.</t>
  </si>
  <si>
    <t>ВИНОГРАДЕНКО Е. А.</t>
  </si>
  <si>
    <t>ТИТОВА Е. Е.</t>
  </si>
  <si>
    <t>АМИРАЛИЕВА Ю. А.</t>
  </si>
  <si>
    <t>РОСТМАЕВА Л. Х.</t>
  </si>
  <si>
    <t>ЧИНГАРИЕВА Д. Э.</t>
  </si>
  <si>
    <t>РУЗМАНОВА О. В.</t>
  </si>
  <si>
    <t>БАГЕМСКАЯ С. А.</t>
  </si>
  <si>
    <t>ДЕРИШ К. Ф.</t>
  </si>
  <si>
    <t>МИНАЕВА Л. Б.</t>
  </si>
  <si>
    <t>ЕРМАКОВА Н. П.</t>
  </si>
  <si>
    <t>ЮХАНАНОВА Г. Я.</t>
  </si>
  <si>
    <t>ГУНБА Э. С.</t>
  </si>
  <si>
    <t>ЛУКАВА А. Б.</t>
  </si>
  <si>
    <t>СЕМЕНОВА С. С.</t>
  </si>
  <si>
    <t>ТОН Л. Б.</t>
  </si>
  <si>
    <t>МАКАРОВА А. С.</t>
  </si>
  <si>
    <t>ОБУХОВА Г. С.</t>
  </si>
  <si>
    <t>БУРДИНСКАЯ М. С.</t>
  </si>
  <si>
    <t>ЛИСОВЕНКО С. В.</t>
  </si>
  <si>
    <t>СТЕНЕНКО А. Э.</t>
  </si>
  <si>
    <t>МАМАГАЗИЕВА Н. С.</t>
  </si>
  <si>
    <t>Переход ЖК №3, 5, 6 и 7 в ЦЖЗ на Планетной</t>
  </si>
  <si>
    <t>Показатель</t>
  </si>
  <si>
    <t>Август 07–20</t>
  </si>
  <si>
    <t>Сентябрь 07–20</t>
  </si>
  <si>
    <t>Количество услуг</t>
  </si>
  <si>
    <t>Сумма, руб.</t>
  </si>
  <si>
    <t>Средняя стоимость 1 услуги, руб.</t>
  </si>
  <si>
    <t>Какие источники вошли в сравнение Планетной</t>
  </si>
  <si>
    <t>Период</t>
  </si>
  <si>
    <t>Форма работы</t>
  </si>
  <si>
    <t>Источник</t>
  </si>
  <si>
    <t>Количество</t>
  </si>
  <si>
    <t>Средняя стоимость</t>
  </si>
  <si>
    <t>Врачей</t>
  </si>
  <si>
    <t>Кодов</t>
  </si>
  <si>
    <t>Строк услуг</t>
  </si>
  <si>
    <t>Отдельные ЖК</t>
  </si>
  <si>
    <t>ЖК №3</t>
  </si>
  <si>
    <t>ЖК №5</t>
  </si>
  <si>
    <t>ЖК №6</t>
  </si>
  <si>
    <t>ЖК №7</t>
  </si>
  <si>
    <t>ЦЖЗ</t>
  </si>
  <si>
    <t>Какие группы изменили объём Планетной</t>
  </si>
  <si>
    <t>Зелёный — рост; красный — снижение</t>
  </si>
  <si>
    <t>Сравнение 07–20 августа и 07–20 сентября. Главный показатель — количество услуг</t>
  </si>
  <si>
    <t>Август 07–20: сумма четырёх отдельных ЖК. Сентябрь 07–20: ЦЖЗ на Планетно</t>
  </si>
  <si>
    <t>Для Планетной август собран как ЖК №3 + №5 + №6 + №7, сентябрь — ЦЖЗ на Планетной.</t>
  </si>
  <si>
    <t>Количество услуг — основной показатель. Средняя стоимость = сумма / количество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</si>
</sst>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#,##0;\-#,##0;\–"/>
    <numFmt numFmtId="165" formatCode="\+0.0%;\-0.0%;\–"/>
    <numFmt numFmtId="166" formatCode="\+#,##0.00;\-#,##0.00;\–"/>
    <numFmt numFmtId="167" formatCode="000000"/>
  </numFmts>
  <fonts count="9">
    <font>
      <sz val="11"/>
      <name val="Carlito"/>
    </font>
    <font>
      <b/>
      <sz val="16"/>
      <color rgb="FFFFFFFF"/>
      <name val="Arial"/>
      <family val="2"/>
      <charset val="204"/>
    </font>
    <font>
      <i/>
      <sz val="10"/>
      <color rgb="FF404040"/>
      <name val="Arial"/>
      <family val="2"/>
      <charset val="204"/>
    </font>
    <font>
      <b/>
      <sz val="10"/>
      <color rgb="FF7F600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1"/>
      <color rgb="FFFFFFFF"/>
      <name val="Arial"/>
      <family val="2"/>
      <charset val="204"/>
    </font>
    <font>
      <i/>
      <sz val="9"/>
      <color rgb="FF666666"/>
      <name val="Arial"/>
      <family val="2"/>
      <charset val="204"/>
    </font>
    <font>
      <sz val="11"/>
      <name val="Arial"/>
      <family val="2"/>
      <charset val="204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2F8996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4472C4"/>
      </left>
      <right/>
      <top style="thin">
        <color rgb="FF4472C4"/>
      </top>
      <bottom/>
      <diagonal/>
    </border>
    <border>
      <left/>
      <right/>
      <top style="thin">
        <color rgb="FF4472C4"/>
      </top>
      <bottom/>
      <diagonal/>
    </border>
    <border>
      <left/>
      <right style="thin">
        <color rgb="FF4472C4"/>
      </right>
      <top style="thin">
        <color rgb="FF4472C4"/>
      </top>
      <bottom/>
      <diagonal/>
    </border>
    <border>
      <left style="thin">
        <color rgb="FF2F8996"/>
      </left>
      <right/>
      <top style="thin">
        <color rgb="FF2F8996"/>
      </top>
      <bottom/>
      <diagonal/>
    </border>
    <border>
      <left/>
      <right/>
      <top style="thin">
        <color rgb="FF2F8996"/>
      </top>
      <bottom/>
      <diagonal/>
    </border>
    <border>
      <left/>
      <right style="thin">
        <color rgb="FF2F8996"/>
      </right>
      <top style="thin">
        <color rgb="FF2F8996"/>
      </top>
      <bottom/>
      <diagonal/>
    </border>
  </borders>
  <cellStyleXfs count="2">
    <xf numFmtId="0" fontId="0" fillId="0" borderId="0"/>
    <xf numFmtId="0" fontId="8" fillId="0" borderId="0"/>
  </cellStyleXfs>
  <cellXfs count="76">
    <xf numFmtId="0" fontId="0" fillId="0" borderId="0" xfId="0"/>
    <xf numFmtId="0" fontId="7" fillId="0" borderId="0" xfId="1" applyFont="1" applyAlignment="1">
      <alignment vertical="center"/>
    </xf>
    <xf numFmtId="0" fontId="5" fillId="0" borderId="1" xfId="1" applyFont="1" applyBorder="1" applyAlignment="1">
      <alignment vertical="center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3" fontId="7" fillId="0" borderId="2" xfId="1" applyNumberFormat="1" applyFont="1" applyBorder="1" applyAlignment="1">
      <alignment vertical="center"/>
    </xf>
    <xf numFmtId="164" fontId="7" fillId="0" borderId="2" xfId="1" applyNumberFormat="1" applyFont="1" applyBorder="1" applyAlignment="1">
      <alignment vertical="center"/>
    </xf>
    <xf numFmtId="165" fontId="7" fillId="0" borderId="2" xfId="1" applyNumberFormat="1" applyFont="1" applyBorder="1" applyAlignment="1">
      <alignment vertical="center"/>
    </xf>
    <xf numFmtId="4" fontId="7" fillId="0" borderId="2" xfId="1" applyNumberFormat="1" applyFont="1" applyBorder="1" applyAlignment="1">
      <alignment vertical="center"/>
    </xf>
    <xf numFmtId="166" fontId="7" fillId="0" borderId="2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3" fontId="7" fillId="0" borderId="9" xfId="1" applyNumberFormat="1" applyFont="1" applyBorder="1" applyAlignment="1">
      <alignment vertical="center"/>
    </xf>
    <xf numFmtId="164" fontId="7" fillId="0" borderId="9" xfId="1" applyNumberFormat="1" applyFont="1" applyBorder="1" applyAlignment="1">
      <alignment vertical="center"/>
    </xf>
    <xf numFmtId="165" fontId="7" fillId="0" borderId="9" xfId="1" applyNumberFormat="1" applyFont="1" applyBorder="1" applyAlignment="1">
      <alignment vertical="center"/>
    </xf>
    <xf numFmtId="4" fontId="7" fillId="0" borderId="9" xfId="1" applyNumberFormat="1" applyFont="1" applyBorder="1" applyAlignment="1">
      <alignment vertical="center"/>
    </xf>
    <xf numFmtId="166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 applyAlignment="1">
      <alignment vertical="center"/>
    </xf>
    <xf numFmtId="0" fontId="7" fillId="0" borderId="6" xfId="1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167" fontId="7" fillId="0" borderId="2" xfId="1" applyNumberFormat="1" applyFont="1" applyBorder="1" applyAlignment="1">
      <alignment vertical="center" wrapText="1"/>
    </xf>
    <xf numFmtId="166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167" fontId="7" fillId="0" borderId="9" xfId="1" applyNumberFormat="1" applyFont="1" applyBorder="1" applyAlignment="1">
      <alignment vertical="center" wrapText="1"/>
    </xf>
    <xf numFmtId="166" fontId="7" fillId="0" borderId="10" xfId="1" applyNumberFormat="1" applyFont="1" applyBorder="1" applyAlignment="1">
      <alignment vertical="center"/>
    </xf>
    <xf numFmtId="167" fontId="7" fillId="0" borderId="2" xfId="1" applyNumberFormat="1" applyFont="1" applyBorder="1" applyAlignment="1">
      <alignment vertical="center"/>
    </xf>
    <xf numFmtId="4" fontId="7" fillId="0" borderId="7" xfId="1" applyNumberFormat="1" applyFont="1" applyBorder="1" applyAlignment="1">
      <alignment vertical="center"/>
    </xf>
    <xf numFmtId="167" fontId="7" fillId="0" borderId="9" xfId="1" applyNumberFormat="1" applyFont="1" applyBorder="1" applyAlignment="1">
      <alignment vertical="center"/>
    </xf>
    <xf numFmtId="4" fontId="7" fillId="0" borderId="10" xfId="1" applyNumberFormat="1" applyFont="1" applyBorder="1" applyAlignment="1">
      <alignment vertical="center"/>
    </xf>
    <xf numFmtId="0" fontId="4" fillId="2" borderId="1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vertical="center"/>
    </xf>
    <xf numFmtId="3" fontId="4" fillId="2" borderId="2" xfId="1" applyNumberFormat="1" applyFont="1" applyFill="1" applyBorder="1" applyAlignment="1">
      <alignment vertical="center"/>
    </xf>
    <xf numFmtId="164" fontId="4" fillId="2" borderId="2" xfId="1" applyNumberFormat="1" applyFont="1" applyFill="1" applyBorder="1" applyAlignment="1">
      <alignment vertical="center"/>
    </xf>
    <xf numFmtId="165" fontId="4" fillId="2" borderId="2" xfId="1" applyNumberFormat="1" applyFont="1" applyFill="1" applyBorder="1" applyAlignment="1">
      <alignment vertical="center"/>
    </xf>
    <xf numFmtId="4" fontId="4" fillId="2" borderId="2" xfId="1" applyNumberFormat="1" applyFont="1" applyFill="1" applyBorder="1" applyAlignment="1">
      <alignment vertical="center"/>
    </xf>
    <xf numFmtId="166" fontId="4" fillId="2" borderId="2" xfId="1" applyNumberFormat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3" fontId="4" fillId="2" borderId="9" xfId="1" applyNumberFormat="1" applyFont="1" applyFill="1" applyBorder="1" applyAlignment="1">
      <alignment vertical="center"/>
    </xf>
    <xf numFmtId="164" fontId="4" fillId="2" borderId="9" xfId="1" applyNumberFormat="1" applyFont="1" applyFill="1" applyBorder="1" applyAlignment="1">
      <alignment vertical="center"/>
    </xf>
    <xf numFmtId="165" fontId="4" fillId="2" borderId="9" xfId="1" applyNumberFormat="1" applyFont="1" applyFill="1" applyBorder="1" applyAlignment="1">
      <alignment vertical="center"/>
    </xf>
    <xf numFmtId="4" fontId="4" fillId="2" borderId="9" xfId="1" applyNumberFormat="1" applyFont="1" applyFill="1" applyBorder="1" applyAlignment="1">
      <alignment vertical="center"/>
    </xf>
    <xf numFmtId="166" fontId="4" fillId="2" borderId="9" xfId="1" applyNumberFormat="1" applyFont="1" applyFill="1" applyBorder="1" applyAlignment="1">
      <alignment vertical="center"/>
    </xf>
    <xf numFmtId="3" fontId="4" fillId="2" borderId="10" xfId="1" applyNumberFormat="1" applyFont="1" applyFill="1" applyBorder="1" applyAlignment="1">
      <alignment vertical="center"/>
    </xf>
    <xf numFmtId="0" fontId="4" fillId="5" borderId="3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167" fontId="7" fillId="0" borderId="6" xfId="1" applyNumberFormat="1" applyFont="1" applyBorder="1" applyAlignment="1">
      <alignment vertical="center"/>
    </xf>
    <xf numFmtId="164" fontId="7" fillId="7" borderId="2" xfId="1" applyNumberFormat="1" applyFont="1" applyFill="1" applyBorder="1" applyAlignment="1">
      <alignment vertical="center"/>
    </xf>
    <xf numFmtId="166" fontId="7" fillId="7" borderId="7" xfId="1" applyNumberFormat="1" applyFont="1" applyFill="1" applyBorder="1" applyAlignment="1">
      <alignment vertical="center"/>
    </xf>
    <xf numFmtId="167" fontId="7" fillId="0" borderId="8" xfId="1" applyNumberFormat="1" applyFont="1" applyBorder="1" applyAlignment="1">
      <alignment vertical="center"/>
    </xf>
    <xf numFmtId="164" fontId="7" fillId="7" borderId="9" xfId="1" applyNumberFormat="1" applyFont="1" applyFill="1" applyBorder="1" applyAlignment="1">
      <alignment vertical="center"/>
    </xf>
    <xf numFmtId="166" fontId="7" fillId="7" borderId="10" xfId="1" applyNumberFormat="1" applyFont="1" applyFill="1" applyBorder="1" applyAlignment="1">
      <alignment vertical="center"/>
    </xf>
    <xf numFmtId="0" fontId="4" fillId="6" borderId="3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164" fontId="7" fillId="8" borderId="2" xfId="1" applyNumberFormat="1" applyFont="1" applyFill="1" applyBorder="1" applyAlignment="1">
      <alignment vertical="center"/>
    </xf>
    <xf numFmtId="166" fontId="7" fillId="8" borderId="7" xfId="1" applyNumberFormat="1" applyFont="1" applyFill="1" applyBorder="1" applyAlignment="1">
      <alignment vertical="center"/>
    </xf>
    <xf numFmtId="164" fontId="7" fillId="8" borderId="9" xfId="1" applyNumberFormat="1" applyFont="1" applyFill="1" applyBorder="1" applyAlignment="1">
      <alignment vertical="center"/>
    </xf>
    <xf numFmtId="166" fontId="7" fillId="8" borderId="10" xfId="1" applyNumberFormat="1" applyFont="1" applyFill="1" applyBorder="1" applyAlignment="1">
      <alignment vertical="center"/>
    </xf>
    <xf numFmtId="0" fontId="6" fillId="9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vertical="center" wrapText="1"/>
    </xf>
    <xf numFmtId="0" fontId="5" fillId="5" borderId="12" xfId="1" applyFont="1" applyFill="1" applyBorder="1" applyAlignment="1">
      <alignment vertical="center"/>
    </xf>
    <xf numFmtId="0" fontId="5" fillId="5" borderId="13" xfId="1" applyFont="1" applyFill="1" applyBorder="1" applyAlignment="1">
      <alignment vertical="center"/>
    </xf>
    <xf numFmtId="0" fontId="5" fillId="5" borderId="14" xfId="1" applyFont="1" applyFill="1" applyBorder="1" applyAlignment="1">
      <alignment vertical="center"/>
    </xf>
    <xf numFmtId="0" fontId="5" fillId="6" borderId="15" xfId="1" applyFont="1" applyFill="1" applyBorder="1" applyAlignment="1">
      <alignment vertical="center"/>
    </xf>
    <xf numFmtId="0" fontId="5" fillId="6" borderId="16" xfId="1" applyFont="1" applyFill="1" applyBorder="1" applyAlignment="1">
      <alignment vertical="center"/>
    </xf>
    <xf numFmtId="0" fontId="5" fillId="6" borderId="17" xfId="1" applyFont="1" applyFill="1" applyBorder="1" applyAlignment="1">
      <alignment vertical="center"/>
    </xf>
    <xf numFmtId="0" fontId="5" fillId="5" borderId="12" xfId="1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181"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548235"/>
      </font>
      <fill>
        <patternFill patternType="solid">
          <bgColor rgb="FFE2F0D9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ortSummary14" displayName="ShortSummary14" ref="A6:M11" totalsRowShown="0" headerRowDxfId="180" headerRowBorderDxfId="179" tableBorderDxfId="178" totalsRowBorderDxfId="177">
  <autoFilter ref="A6:M11" xr:uid="{00000000-0009-0000-0100-000001000000}"/>
  <tableColumns count="13">
    <tableColumn id="1" xr3:uid="{00000000-0010-0000-0000-000001000000}" name="Подразделение" dataDxfId="176"/>
    <tableColumn id="2" xr3:uid="{00000000-0010-0000-0000-000002000000}" name="Август, услуг" dataDxfId="175"/>
    <tableColumn id="3" xr3:uid="{00000000-0010-0000-0000-000003000000}" name="Сентябрь, услуг" dataDxfId="174"/>
    <tableColumn id="4" xr3:uid="{00000000-0010-0000-0000-000004000000}" name="Разница" dataDxfId="173"/>
    <tableColumn id="5" xr3:uid="{00000000-0010-0000-0000-000005000000}" name="Изменение" dataDxfId="172"/>
    <tableColumn id="6" xr3:uid="{00000000-0010-0000-0000-000006000000}" name="Август, руб." dataDxfId="171"/>
    <tableColumn id="7" xr3:uid="{00000000-0010-0000-0000-000007000000}" name="Сентябрь, руб." dataDxfId="170"/>
    <tableColumn id="8" xr3:uid="{00000000-0010-0000-0000-000008000000}" name="Разница, руб." dataDxfId="169"/>
    <tableColumn id="9" xr3:uid="{00000000-0010-0000-0000-000009000000}" name="Средняя стоимость, август" dataDxfId="168"/>
    <tableColumn id="10" xr3:uid="{00000000-0010-0000-0000-00000A000000}" name="Средняя стоимость, сентябрь" dataDxfId="167"/>
    <tableColumn id="11" xr3:uid="{00000000-0010-0000-0000-00000B000000}" name="Разница средней" dataDxfId="166"/>
    <tableColumn id="12" xr3:uid="{00000000-0010-0000-0000-00000C000000}" name="Врачей, август" dataDxfId="165"/>
    <tableColumn id="13" xr3:uid="{00000000-0010-0000-0000-00000D000000}" name="Врачей, сентябрь" dataDxfId="16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verallGrowth14" displayName="OverallGrowth14" ref="A15:F21" totalsRowShown="0" headerRowDxfId="163" headerRowBorderDxfId="162" tableBorderDxfId="161" totalsRowBorderDxfId="160">
  <autoFilter ref="A15:F21" xr:uid="{00000000-0009-0000-0100-000002000000}"/>
  <tableColumns count="6">
    <tableColumn id="1" xr3:uid="{00000000-0010-0000-0100-000001000000}" name="Код" dataDxfId="159"/>
    <tableColumn id="2" xr3:uid="{00000000-0010-0000-0100-000002000000}" name="Услуга" dataDxfId="158"/>
    <tableColumn id="3" xr3:uid="{00000000-0010-0000-0100-000003000000}" name="Август" dataDxfId="157"/>
    <tableColumn id="4" xr3:uid="{00000000-0010-0000-0100-000004000000}" name="Сентябрь" dataDxfId="156"/>
    <tableColumn id="5" xr3:uid="{00000000-0010-0000-0100-000005000000}" name="Разница" dataDxfId="155"/>
    <tableColumn id="6" xr3:uid="{00000000-0010-0000-0100-000006000000}" name="Разница, руб." dataDxfId="15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verallDecline14" displayName="OverallDecline14" ref="H15:M21" totalsRowShown="0" headerRowDxfId="153" headerRowBorderDxfId="152" tableBorderDxfId="151" totalsRowBorderDxfId="150">
  <autoFilter ref="H15:M21" xr:uid="{00000000-0009-0000-0100-000003000000}"/>
  <tableColumns count="6">
    <tableColumn id="1" xr3:uid="{00000000-0010-0000-0200-000001000000}" name="Код" dataDxfId="149"/>
    <tableColumn id="2" xr3:uid="{00000000-0010-0000-0200-000002000000}" name="Услуга" dataDxfId="148"/>
    <tableColumn id="3" xr3:uid="{00000000-0010-0000-0200-000003000000}" name="Август" dataDxfId="147"/>
    <tableColumn id="4" xr3:uid="{00000000-0010-0000-0200-000004000000}" name="Сентябрь" dataDxfId="146"/>
    <tableColumn id="5" xr3:uid="{00000000-0010-0000-0200-000005000000}" name="Разница" dataDxfId="145"/>
    <tableColumn id="6" xr3:uid="{00000000-0010-0000-0200-000006000000}" name="Разница, руб." dataDxfId="14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nitsComparison14" displayName="UnitsComparison14" ref="A5:Q10" totalsRowShown="0">
  <autoFilter ref="A5:Q10" xr:uid="{00000000-0009-0000-0100-000004000000}"/>
  <tableColumns count="17">
    <tableColumn id="1" xr3:uid="{00000000-0010-0000-0300-000001000000}" name="Подразделение" dataDxfId="143"/>
    <tableColumn id="2" xr3:uid="{00000000-0010-0000-0300-000002000000}" name="Август, кол." dataDxfId="142"/>
    <tableColumn id="3" xr3:uid="{00000000-0010-0000-0300-000003000000}" name="Сентябрь, кол." dataDxfId="141"/>
    <tableColumn id="4" xr3:uid="{00000000-0010-0000-0300-000004000000}" name="Разница" dataDxfId="140"/>
    <tableColumn id="5" xr3:uid="{00000000-0010-0000-0300-000005000000}" name="Изменение" dataDxfId="139"/>
    <tableColumn id="6" xr3:uid="{00000000-0010-0000-0300-000006000000}" name="Август, руб." dataDxfId="138"/>
    <tableColumn id="7" xr3:uid="{00000000-0010-0000-0300-000007000000}" name="Сентябрь, руб." dataDxfId="137"/>
    <tableColumn id="8" xr3:uid="{00000000-0010-0000-0300-000008000000}" name="Разница, руб." dataDxfId="136"/>
    <tableColumn id="9" xr3:uid="{00000000-0010-0000-0300-000009000000}" name="Средняя стоимость, август" dataDxfId="135"/>
    <tableColumn id="10" xr3:uid="{00000000-0010-0000-0300-00000A000000}" name="Средняя стоимость, сентябрь" dataDxfId="134"/>
    <tableColumn id="11" xr3:uid="{00000000-0010-0000-0300-00000B000000}" name="Разница средней" dataDxfId="133"/>
    <tableColumn id="12" xr3:uid="{00000000-0010-0000-0300-00000C000000}" name="Врачей, август" dataDxfId="132"/>
    <tableColumn id="13" xr3:uid="{00000000-0010-0000-0300-00000D000000}" name="Врачей, сентябрь" dataDxfId="131"/>
    <tableColumn id="14" xr3:uid="{00000000-0010-0000-0300-00000E000000}" name="Кодов, август" dataDxfId="130"/>
    <tableColumn id="15" xr3:uid="{00000000-0010-0000-0300-00000F000000}" name="Кодов, сентябрь" dataDxfId="129"/>
    <tableColumn id="16" xr3:uid="{00000000-0010-0000-0300-000010000000}" name="Новых кодов" dataDxfId="128"/>
    <tableColumn id="17" xr3:uid="{00000000-0010-0000-0300-000011000000}" name="Нет в сентябре" dataDxfId="12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opServiceChanges14" displayName="TopServiceChanges14" ref="A5:L61" totalsRowShown="0" headerRowDxfId="126" headerRowBorderDxfId="125" tableBorderDxfId="124" totalsRowBorderDxfId="123">
  <autoFilter ref="A5:L61" xr:uid="{00000000-0009-0000-0100-000005000000}"/>
  <tableColumns count="12">
    <tableColumn id="1" xr3:uid="{00000000-0010-0000-0400-000001000000}" name="Подразделение" dataDxfId="122"/>
    <tableColumn id="2" xr3:uid="{00000000-0010-0000-0400-000002000000}" name="Направление" dataDxfId="121"/>
    <tableColumn id="3" xr3:uid="{00000000-0010-0000-0400-000003000000}" name="Код" dataDxfId="120"/>
    <tableColumn id="4" xr3:uid="{00000000-0010-0000-0400-000004000000}" name="Услуга" dataDxfId="119"/>
    <tableColumn id="5" xr3:uid="{00000000-0010-0000-0400-000005000000}" name="Август, кол." dataDxfId="118"/>
    <tableColumn id="6" xr3:uid="{00000000-0010-0000-0400-000006000000}" name="Сентябрь, кол." dataDxfId="117"/>
    <tableColumn id="7" xr3:uid="{00000000-0010-0000-0400-000007000000}" name="Разница" dataDxfId="116"/>
    <tableColumn id="8" xr3:uid="{00000000-0010-0000-0400-000008000000}" name="Август, руб." dataDxfId="115"/>
    <tableColumn id="9" xr3:uid="{00000000-0010-0000-0400-000009000000}" name="Сентябрь, руб." dataDxfId="114"/>
    <tableColumn id="10" xr3:uid="{00000000-0010-0000-0400-00000A000000}" name="Разница, руб." dataDxfId="113"/>
    <tableColumn id="11" xr3:uid="{00000000-0010-0000-0400-00000B000000}" name="Средняя стоимость, август" dataDxfId="112"/>
    <tableColumn id="12" xr3:uid="{00000000-0010-0000-0400-00000C000000}" name="Средняя стоимость, сентябрь" dataDxfId="11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llServices14" displayName="AllServices14" ref="A5:N178" totalsRowShown="0" headerRowDxfId="110" headerRowBorderDxfId="109" tableBorderDxfId="108" totalsRowBorderDxfId="107">
  <autoFilter ref="A5:N178" xr:uid="{00000000-0009-0000-0100-000008000000}"/>
  <tableColumns count="14">
    <tableColumn id="1" xr3:uid="{00000000-0010-0000-0700-000001000000}" name="Подразделение" dataDxfId="106"/>
    <tableColumn id="2" xr3:uid="{00000000-0010-0000-0700-000002000000}" name="Группа" dataDxfId="105"/>
    <tableColumn id="3" xr3:uid="{00000000-0010-0000-0700-000003000000}" name="Код" dataDxfId="104"/>
    <tableColumn id="4" xr3:uid="{00000000-0010-0000-0700-000004000000}" name="Услуга" dataDxfId="103"/>
    <tableColumn id="5" xr3:uid="{00000000-0010-0000-0700-000005000000}" name="Август, кол." dataDxfId="102"/>
    <tableColumn id="6" xr3:uid="{00000000-0010-0000-0700-000006000000}" name="Сентябрь, кол." dataDxfId="101"/>
    <tableColumn id="7" xr3:uid="{00000000-0010-0000-0700-000007000000}" name="Разница" dataDxfId="100"/>
    <tableColumn id="8" xr3:uid="{00000000-0010-0000-0700-000008000000}" name="Изменение" dataDxfId="99"/>
    <tableColumn id="9" xr3:uid="{00000000-0010-0000-0700-000009000000}" name="Август, руб." dataDxfId="98"/>
    <tableColumn id="10" xr3:uid="{00000000-0010-0000-0700-00000A000000}" name="Сентябрь, руб." dataDxfId="97"/>
    <tableColumn id="11" xr3:uid="{00000000-0010-0000-0700-00000B000000}" name="Разница, руб." dataDxfId="96"/>
    <tableColumn id="12" xr3:uid="{00000000-0010-0000-0700-00000C000000}" name="Средняя стоимость, август" dataDxfId="95"/>
    <tableColumn id="13" xr3:uid="{00000000-0010-0000-0700-00000D000000}" name="Средняя стоимость, сентябрь" dataDxfId="94"/>
    <tableColumn id="14" xr3:uid="{00000000-0010-0000-0700-00000E000000}" name="Разница средней" dataDxfId="9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octorComparison14" displayName="DoctorComparison14" ref="A4:N196" totalsRowShown="0" headerRowDxfId="92" headerRowBorderDxfId="91" tableBorderDxfId="90" totalsRowBorderDxfId="89">
  <autoFilter ref="A4:N196" xr:uid="{00000000-0009-0000-0100-000009000000}"/>
  <tableColumns count="14">
    <tableColumn id="1" xr3:uid="{00000000-0010-0000-0800-000001000000}" name="Подразделение" dataDxfId="88"/>
    <tableColumn id="2" xr3:uid="{00000000-0010-0000-0800-000002000000}" name="Врач" dataDxfId="87"/>
    <tableColumn id="3" xr3:uid="{00000000-0010-0000-0800-000003000000}" name="Август, кол." dataDxfId="86"/>
    <tableColumn id="4" xr3:uid="{00000000-0010-0000-0800-000004000000}" name="Сентябрь, кол." dataDxfId="85"/>
    <tableColumn id="5" xr3:uid="{00000000-0010-0000-0800-000005000000}" name="Разница" dataDxfId="84"/>
    <tableColumn id="6" xr3:uid="{00000000-0010-0000-0800-000006000000}" name="Изменение" dataDxfId="83"/>
    <tableColumn id="7" xr3:uid="{00000000-0010-0000-0800-000007000000}" name="Август, руб." dataDxfId="82"/>
    <tableColumn id="8" xr3:uid="{00000000-0010-0000-0800-000008000000}" name="Сентябрь, руб." dataDxfId="81"/>
    <tableColumn id="9" xr3:uid="{00000000-0010-0000-0800-000009000000}" name="Разница, руб." dataDxfId="80"/>
    <tableColumn id="10" xr3:uid="{00000000-0010-0000-0800-00000A000000}" name="Средняя стоимость, август" dataDxfId="79"/>
    <tableColumn id="11" xr3:uid="{00000000-0010-0000-0800-00000B000000}" name="Средняя стоимость, сентябрь" dataDxfId="78"/>
    <tableColumn id="12" xr3:uid="{00000000-0010-0000-0800-00000C000000}" name="Разница средней" dataDxfId="77"/>
    <tableColumn id="13" xr3:uid="{00000000-0010-0000-0800-00000D000000}" name="Кодов, август" dataDxfId="76"/>
    <tableColumn id="14" xr3:uid="{00000000-0010-0000-0800-00000E000000}" name="Кодов, сентябрь" dataDxfId="7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lanetaSummary14" displayName="PlanetaSummary14" ref="A5:E8" totalsRowShown="0" headerRowDxfId="74" headerRowBorderDxfId="73" tableBorderDxfId="72" totalsRowBorderDxfId="71">
  <autoFilter ref="A5:E8" xr:uid="{00000000-0009-0000-0100-00000A000000}"/>
  <tableColumns count="5">
    <tableColumn id="1" xr3:uid="{00000000-0010-0000-0900-000001000000}" name="Показатель" dataDxfId="70"/>
    <tableColumn id="2" xr3:uid="{00000000-0010-0000-0900-000002000000}" name="Август 07–20" dataDxfId="69"/>
    <tableColumn id="3" xr3:uid="{00000000-0010-0000-0900-000003000000}" name="Сентябрь 07–20" dataDxfId="68"/>
    <tableColumn id="4" xr3:uid="{00000000-0010-0000-0900-000004000000}" name="Разница" dataDxfId="67"/>
    <tableColumn id="5" xr3:uid="{00000000-0010-0000-0900-000005000000}" name="Изменение" dataDxfId="66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lanetaSources14" displayName="PlanetaSources14" ref="A12:I17" totalsRowShown="0" headerRowDxfId="65" headerRowBorderDxfId="64" tableBorderDxfId="63" totalsRowBorderDxfId="62">
  <autoFilter ref="A12:I17" xr:uid="{00000000-0009-0000-0100-00000B000000}"/>
  <tableColumns count="9">
    <tableColumn id="1" xr3:uid="{00000000-0010-0000-0A00-000001000000}" name="Период" dataDxfId="61"/>
    <tableColumn id="2" xr3:uid="{00000000-0010-0000-0A00-000002000000}" name="Форма работы" dataDxfId="60"/>
    <tableColumn id="3" xr3:uid="{00000000-0010-0000-0A00-000003000000}" name="Источник" dataDxfId="59"/>
    <tableColumn id="4" xr3:uid="{00000000-0010-0000-0A00-000004000000}" name="Количество" dataDxfId="58"/>
    <tableColumn id="5" xr3:uid="{00000000-0010-0000-0A00-000005000000}" name="Сумма, руб." dataDxfId="57"/>
    <tableColumn id="6" xr3:uid="{00000000-0010-0000-0A00-000006000000}" name="Средняя стоимость" dataDxfId="56"/>
    <tableColumn id="7" xr3:uid="{00000000-0010-0000-0A00-000007000000}" name="Врачей" dataDxfId="55"/>
    <tableColumn id="8" xr3:uid="{00000000-0010-0000-0A00-000008000000}" name="Кодов" dataDxfId="54"/>
    <tableColumn id="9" xr3:uid="{00000000-0010-0000-0A00-000009000000}" name="Строк услуг" dataDxfId="5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lanetaGroups14" displayName="PlanetaGroups14" ref="A21:K28" totalsRowShown="0" headerRowDxfId="52" headerRowBorderDxfId="51" tableBorderDxfId="50" totalsRowBorderDxfId="49">
  <autoFilter ref="A21:K28" xr:uid="{00000000-0009-0000-0100-00000C000000}"/>
  <tableColumns count="11">
    <tableColumn id="1" xr3:uid="{00000000-0010-0000-0B00-000001000000}" name="Группа" dataDxfId="48"/>
    <tableColumn id="2" xr3:uid="{00000000-0010-0000-0B00-000002000000}" name="Август, кол." dataDxfId="47"/>
    <tableColumn id="3" xr3:uid="{00000000-0010-0000-0B00-000003000000}" name="Сентябрь, кол." dataDxfId="46"/>
    <tableColumn id="4" xr3:uid="{00000000-0010-0000-0B00-000004000000}" name="Разница" dataDxfId="45"/>
    <tableColumn id="5" xr3:uid="{00000000-0010-0000-0B00-000005000000}" name="Изменение" dataDxfId="44"/>
    <tableColumn id="6" xr3:uid="{00000000-0010-0000-0B00-000006000000}" name="Август, руб." dataDxfId="43"/>
    <tableColumn id="7" xr3:uid="{00000000-0010-0000-0B00-000007000000}" name="Сентябрь, руб." dataDxfId="42"/>
    <tableColumn id="8" xr3:uid="{00000000-0010-0000-0B00-000008000000}" name="Разница, руб." dataDxfId="41"/>
    <tableColumn id="9" xr3:uid="{00000000-0010-0000-0B00-000009000000}" name="Средняя стоимость, август" dataDxfId="40"/>
    <tableColumn id="10" xr3:uid="{00000000-0010-0000-0B00-00000A000000}" name="Средняя стоимость, сентябрь" dataDxfId="39"/>
    <tableColumn id="11" xr3:uid="{00000000-0010-0000-0B00-00000B000000}" name="Разница средней" dataDxfId="3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W24"/>
  <sheetViews>
    <sheetView showGridLines="0" tabSelected="1" zoomScale="85" zoomScaleNormal="85" workbookViewId="0">
      <pane ySplit="6" topLeftCell="A7" activePane="bottomLeft" state="frozen"/>
      <selection pane="bottomLeft" activeCell="E3" sqref="E3"/>
    </sheetView>
  </sheetViews>
  <sheetFormatPr defaultRowHeight="14.25"/>
  <cols>
    <col min="1" max="1" width="26" customWidth="1"/>
    <col min="2" max="2" width="34" customWidth="1"/>
    <col min="3" max="3" width="14" customWidth="1"/>
    <col min="4" max="5" width="12" customWidth="1"/>
    <col min="6" max="8" width="16" customWidth="1"/>
    <col min="9" max="9" width="34" customWidth="1"/>
    <col min="10" max="11" width="14" customWidth="1"/>
    <col min="12" max="12" width="13" customWidth="1"/>
    <col min="13" max="13" width="16" customWidth="1"/>
    <col min="14" max="14" width="3" customWidth="1"/>
    <col min="15" max="23" width="12" customWidth="1"/>
  </cols>
  <sheetData>
    <row r="1" spans="1:23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3" ht="24.95" customHeight="1">
      <c r="A2" s="66" t="s">
        <v>320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 spans="1:2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30" customHeight="1">
      <c r="A4" s="67" t="s">
        <v>322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8.25">
      <c r="A6" s="3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5" t="s">
        <v>13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3.950000000000003" customHeight="1">
      <c r="A7" s="6" t="s">
        <v>14</v>
      </c>
      <c r="B7" s="8">
        <f>Подразделения!B6</f>
        <v>8006</v>
      </c>
      <c r="C7" s="8">
        <f>Подразделения!C6</f>
        <v>10438</v>
      </c>
      <c r="D7" s="9">
        <f>Подразделения!D6</f>
        <v>2432</v>
      </c>
      <c r="E7" s="10">
        <f>Подразделения!E6</f>
        <v>0.3037721708718461</v>
      </c>
      <c r="F7" s="11">
        <f>Подразделения!F6</f>
        <v>4507808.3499999996</v>
      </c>
      <c r="G7" s="11">
        <f>Подразделения!G6</f>
        <v>5809773.5800000001</v>
      </c>
      <c r="H7" s="12">
        <f>Подразделения!H6</f>
        <v>1301965.2300000004</v>
      </c>
      <c r="I7" s="11">
        <f>Подразделения!I6</f>
        <v>563.05375343492381</v>
      </c>
      <c r="J7" s="11">
        <f>Подразделения!J6</f>
        <v>556.59835025867028</v>
      </c>
      <c r="K7" s="12">
        <f>Подразделения!K6</f>
        <v>-6.455403176253526</v>
      </c>
      <c r="L7" s="8">
        <f>Подразделения!L6</f>
        <v>71</v>
      </c>
      <c r="M7" s="13">
        <f>Подразделения!M6</f>
        <v>65</v>
      </c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3.950000000000003" customHeight="1">
      <c r="A8" s="6" t="s">
        <v>15</v>
      </c>
      <c r="B8" s="8">
        <f>Подразделения!B7</f>
        <v>8858</v>
      </c>
      <c r="C8" s="8">
        <f>Подразделения!C7</f>
        <v>6003</v>
      </c>
      <c r="D8" s="9">
        <f>Подразделения!D7</f>
        <v>-2855</v>
      </c>
      <c r="E8" s="10">
        <f>Подразделения!E7</f>
        <v>-0.32230751862722962</v>
      </c>
      <c r="F8" s="11">
        <f>Подразделения!F7</f>
        <v>4079608.24</v>
      </c>
      <c r="G8" s="11">
        <f>Подразделения!G7</f>
        <v>2621516.2000000002</v>
      </c>
      <c r="H8" s="12">
        <f>Подразделения!H7</f>
        <v>-1458092.04</v>
      </c>
      <c r="I8" s="11">
        <f>Подразделения!I7</f>
        <v>460.55636035222398</v>
      </c>
      <c r="J8" s="11">
        <f>Подразделения!J7</f>
        <v>436.70101615858738</v>
      </c>
      <c r="K8" s="12">
        <f>Подразделения!K7</f>
        <v>-23.855344193636597</v>
      </c>
      <c r="L8" s="8">
        <f>Подразделения!L7</f>
        <v>45</v>
      </c>
      <c r="M8" s="13">
        <f>Подразделения!M7</f>
        <v>40</v>
      </c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3.950000000000003" customHeight="1">
      <c r="A9" s="6" t="s">
        <v>16</v>
      </c>
      <c r="B9" s="8">
        <f>Подразделения!B8</f>
        <v>5614</v>
      </c>
      <c r="C9" s="8">
        <f>Подразделения!C8</f>
        <v>6291</v>
      </c>
      <c r="D9" s="9">
        <f>Подразделения!D8</f>
        <v>677</v>
      </c>
      <c r="E9" s="10">
        <f>Подразделения!E8</f>
        <v>0.12059137869611684</v>
      </c>
      <c r="F9" s="11">
        <f>Подразделения!F8</f>
        <v>3020954.74</v>
      </c>
      <c r="G9" s="11">
        <f>Подразделения!G8</f>
        <v>3010961.88</v>
      </c>
      <c r="H9" s="12">
        <f>Подразделения!H8</f>
        <v>-9992.8600000003353</v>
      </c>
      <c r="I9" s="11">
        <f>Подразделения!I8</f>
        <v>538.1109262557892</v>
      </c>
      <c r="J9" s="11">
        <f>Подразделения!J8</f>
        <v>478.61419170243204</v>
      </c>
      <c r="K9" s="12">
        <f>Подразделения!K8</f>
        <v>-59.496734553357157</v>
      </c>
      <c r="L9" s="8">
        <f>Подразделения!L8</f>
        <v>53</v>
      </c>
      <c r="M9" s="13">
        <f>Подразделения!M8</f>
        <v>43</v>
      </c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3.950000000000003" customHeight="1">
      <c r="A10" s="6" t="s">
        <v>17</v>
      </c>
      <c r="B10" s="8">
        <f>Подразделения!B9</f>
        <v>473</v>
      </c>
      <c r="C10" s="8">
        <f>Подразделения!C9</f>
        <v>808</v>
      </c>
      <c r="D10" s="9">
        <f>Подразделения!D9</f>
        <v>335</v>
      </c>
      <c r="E10" s="10">
        <f>Подразделения!E9</f>
        <v>0.70824524312896409</v>
      </c>
      <c r="F10" s="11">
        <f>Подразделения!F9</f>
        <v>255838.71</v>
      </c>
      <c r="G10" s="11">
        <f>Подразделения!G9</f>
        <v>541135.47</v>
      </c>
      <c r="H10" s="12">
        <f>Подразделения!H9</f>
        <v>285296.76</v>
      </c>
      <c r="I10" s="11">
        <f>Подразделения!I9</f>
        <v>540.88522198731505</v>
      </c>
      <c r="J10" s="11">
        <f>Подразделения!J9</f>
        <v>669.72211633663358</v>
      </c>
      <c r="K10" s="12">
        <f>Подразделения!K9</f>
        <v>128.83689434931853</v>
      </c>
      <c r="L10" s="8">
        <f>Подразделения!L9</f>
        <v>6</v>
      </c>
      <c r="M10" s="13">
        <f>Подразделения!M9</f>
        <v>7</v>
      </c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3.950000000000003" customHeight="1">
      <c r="A11" s="41" t="s">
        <v>18</v>
      </c>
      <c r="B11" s="42">
        <f>Подразделения!B10</f>
        <v>22951</v>
      </c>
      <c r="C11" s="42">
        <f>Подразделения!C10</f>
        <v>23540</v>
      </c>
      <c r="D11" s="43">
        <f>Подразделения!D10</f>
        <v>589</v>
      </c>
      <c r="E11" s="44">
        <f>Подразделения!E10</f>
        <v>2.566336978780881E-2</v>
      </c>
      <c r="F11" s="45">
        <f>Подразделения!F10</f>
        <v>11864210.040000001</v>
      </c>
      <c r="G11" s="45">
        <f>Подразделения!G10</f>
        <v>11983387.130000001</v>
      </c>
      <c r="H11" s="46">
        <f>Подразделения!H10</f>
        <v>119177.08999999985</v>
      </c>
      <c r="I11" s="45">
        <f>Подразделения!I10</f>
        <v>516.93651867021049</v>
      </c>
      <c r="J11" s="45">
        <f>Подразделения!J10</f>
        <v>509.06487383177574</v>
      </c>
      <c r="K11" s="46">
        <f>Подразделения!K10</f>
        <v>-7.8716448384347473</v>
      </c>
      <c r="L11" s="42">
        <f>Подразделения!L10</f>
        <v>168</v>
      </c>
      <c r="M11" s="47">
        <f>Подразделения!M10</f>
        <v>153</v>
      </c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4" customHeight="1">
      <c r="A14" s="68" t="s">
        <v>19</v>
      </c>
      <c r="B14" s="69"/>
      <c r="C14" s="69"/>
      <c r="D14" s="69"/>
      <c r="E14" s="69"/>
      <c r="F14" s="70"/>
      <c r="G14" s="1"/>
      <c r="H14" s="71" t="s">
        <v>20</v>
      </c>
      <c r="I14" s="72"/>
      <c r="J14" s="72"/>
      <c r="K14" s="72"/>
      <c r="L14" s="72"/>
      <c r="M14" s="73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48" t="s">
        <v>21</v>
      </c>
      <c r="B15" s="49" t="s">
        <v>22</v>
      </c>
      <c r="C15" s="49" t="s">
        <v>23</v>
      </c>
      <c r="D15" s="49" t="s">
        <v>24</v>
      </c>
      <c r="E15" s="49" t="s">
        <v>4</v>
      </c>
      <c r="F15" s="50" t="s">
        <v>8</v>
      </c>
      <c r="G15" s="1"/>
      <c r="H15" s="57" t="s">
        <v>21</v>
      </c>
      <c r="I15" s="58" t="s">
        <v>22</v>
      </c>
      <c r="J15" s="58" t="s">
        <v>23</v>
      </c>
      <c r="K15" s="58" t="s">
        <v>24</v>
      </c>
      <c r="L15" s="58" t="s">
        <v>4</v>
      </c>
      <c r="M15" s="59" t="s">
        <v>8</v>
      </c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51.95" customHeight="1">
      <c r="A16" s="51">
        <v>8003</v>
      </c>
      <c r="B16" s="23" t="s">
        <v>25</v>
      </c>
      <c r="C16" s="8">
        <v>220</v>
      </c>
      <c r="D16" s="8">
        <v>550</v>
      </c>
      <c r="E16" s="52">
        <v>330</v>
      </c>
      <c r="F16" s="53">
        <v>178856.7</v>
      </c>
      <c r="G16" s="1"/>
      <c r="H16" s="51">
        <v>1981</v>
      </c>
      <c r="I16" s="23" t="s">
        <v>26</v>
      </c>
      <c r="J16" s="8">
        <v>1667</v>
      </c>
      <c r="K16" s="8">
        <v>1392</v>
      </c>
      <c r="L16" s="60">
        <v>-275</v>
      </c>
      <c r="M16" s="61">
        <v>-248424</v>
      </c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51.95" customHeight="1">
      <c r="A17" s="51">
        <v>40021</v>
      </c>
      <c r="B17" s="23" t="s">
        <v>27</v>
      </c>
      <c r="C17" s="8">
        <v>1788</v>
      </c>
      <c r="D17" s="8">
        <v>1986</v>
      </c>
      <c r="E17" s="52">
        <v>198</v>
      </c>
      <c r="F17" s="53">
        <v>50054.399999999965</v>
      </c>
      <c r="G17" s="1"/>
      <c r="H17" s="51">
        <v>22722</v>
      </c>
      <c r="I17" s="23" t="s">
        <v>28</v>
      </c>
      <c r="J17" s="8">
        <v>708</v>
      </c>
      <c r="K17" s="8">
        <v>534</v>
      </c>
      <c r="L17" s="60">
        <v>-174</v>
      </c>
      <c r="M17" s="61">
        <v>-90620.94</v>
      </c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51.95" customHeight="1">
      <c r="A18" s="51">
        <v>40054</v>
      </c>
      <c r="B18" s="23" t="s">
        <v>29</v>
      </c>
      <c r="C18" s="8">
        <v>454</v>
      </c>
      <c r="D18" s="8">
        <v>614</v>
      </c>
      <c r="E18" s="52">
        <v>160</v>
      </c>
      <c r="F18" s="53">
        <v>21480</v>
      </c>
      <c r="G18" s="1"/>
      <c r="H18" s="51">
        <v>1441</v>
      </c>
      <c r="I18" s="23" t="s">
        <v>30</v>
      </c>
      <c r="J18" s="8">
        <v>1773</v>
      </c>
      <c r="K18" s="8">
        <v>1694</v>
      </c>
      <c r="L18" s="60">
        <v>-79</v>
      </c>
      <c r="M18" s="61">
        <v>-39490.520000000019</v>
      </c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51.95" customHeight="1">
      <c r="A19" s="51">
        <v>40052</v>
      </c>
      <c r="B19" s="23" t="s">
        <v>31</v>
      </c>
      <c r="C19" s="8">
        <v>686</v>
      </c>
      <c r="D19" s="8">
        <v>775</v>
      </c>
      <c r="E19" s="52">
        <v>89</v>
      </c>
      <c r="F19" s="53">
        <v>12668.259999999995</v>
      </c>
      <c r="G19" s="1"/>
      <c r="H19" s="51">
        <v>1015</v>
      </c>
      <c r="I19" s="23" t="s">
        <v>32</v>
      </c>
      <c r="J19" s="8">
        <v>177</v>
      </c>
      <c r="K19" s="8">
        <v>105</v>
      </c>
      <c r="L19" s="60">
        <v>-72</v>
      </c>
      <c r="M19" s="61">
        <v>-7968.24</v>
      </c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51.95" customHeight="1">
      <c r="A20" s="51">
        <v>40095</v>
      </c>
      <c r="B20" s="23" t="s">
        <v>33</v>
      </c>
      <c r="C20" s="8">
        <v>269</v>
      </c>
      <c r="D20" s="8">
        <v>356</v>
      </c>
      <c r="E20" s="52">
        <v>87</v>
      </c>
      <c r="F20" s="53">
        <v>61554.239999999991</v>
      </c>
      <c r="G20" s="1"/>
      <c r="H20" s="51">
        <v>2004</v>
      </c>
      <c r="I20" s="23" t="s">
        <v>34</v>
      </c>
      <c r="J20" s="8">
        <v>2779</v>
      </c>
      <c r="K20" s="8">
        <v>2734</v>
      </c>
      <c r="L20" s="60">
        <v>-45</v>
      </c>
      <c r="M20" s="61">
        <v>-2514.1199999999953</v>
      </c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51.95" customHeight="1">
      <c r="A21" s="54">
        <v>1571</v>
      </c>
      <c r="B21" s="27" t="s">
        <v>35</v>
      </c>
      <c r="C21" s="16">
        <v>220</v>
      </c>
      <c r="D21" s="16">
        <v>301</v>
      </c>
      <c r="E21" s="55">
        <v>81</v>
      </c>
      <c r="F21" s="56">
        <v>9297.18</v>
      </c>
      <c r="G21" s="1"/>
      <c r="H21" s="54">
        <v>1849</v>
      </c>
      <c r="I21" s="27" t="s">
        <v>36</v>
      </c>
      <c r="J21" s="16">
        <v>226</v>
      </c>
      <c r="K21" s="16">
        <v>189</v>
      </c>
      <c r="L21" s="62">
        <v>-37</v>
      </c>
      <c r="M21" s="63">
        <v>-4163.2400000000016</v>
      </c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64" t="s">
        <v>319</v>
      </c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1"/>
      <c r="O24" s="1"/>
      <c r="P24" s="1"/>
      <c r="Q24" s="1"/>
      <c r="R24" s="1"/>
      <c r="S24" s="1"/>
      <c r="T24" s="1"/>
      <c r="U24" s="1"/>
      <c r="V24" s="1"/>
      <c r="W24" s="1"/>
    </row>
  </sheetData>
  <mergeCells count="6">
    <mergeCell ref="A24:M24"/>
    <mergeCell ref="A1:W1"/>
    <mergeCell ref="A2:W2"/>
    <mergeCell ref="A4:W4"/>
    <mergeCell ref="A14:F14"/>
    <mergeCell ref="H14:M14"/>
  </mergeCells>
  <conditionalFormatting sqref="D7:D10">
    <cfRule type="cellIs" dxfId="37" priority="1" operator="greaterThan">
      <formula>0</formula>
    </cfRule>
    <cfRule type="cellIs" dxfId="36" priority="2" operator="lessThan">
      <formula>0</formula>
    </cfRule>
  </conditionalFormatting>
  <conditionalFormatting sqref="H7:H10">
    <cfRule type="cellIs" dxfId="35" priority="3" operator="greaterThan">
      <formula>0</formula>
    </cfRule>
    <cfRule type="cellIs" dxfId="34" priority="4" operator="lessThan">
      <formula>0</formula>
    </cfRule>
  </conditionalFormatting>
  <conditionalFormatting sqref="K7:K10">
    <cfRule type="cellIs" dxfId="33" priority="5" operator="greaterThan">
      <formula>0</formula>
    </cfRule>
    <cfRule type="cellIs" dxfId="32" priority="6" operator="lessThan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Q10"/>
  <sheetViews>
    <sheetView showGridLines="0" tabSelected="1" workbookViewId="0">
      <selection activeCell="E3" sqref="E3"/>
    </sheetView>
  </sheetViews>
  <sheetFormatPr defaultRowHeight="14.25"/>
  <cols>
    <col min="1" max="1" width="26" customWidth="1"/>
    <col min="2" max="3" width="13" customWidth="1"/>
    <col min="4" max="5" width="12" customWidth="1"/>
    <col min="6" max="8" width="16" customWidth="1"/>
    <col min="9" max="10" width="17" customWidth="1"/>
    <col min="11" max="11" width="16" customWidth="1"/>
    <col min="12" max="16" width="12" customWidth="1"/>
    <col min="17" max="17" width="13" customWidth="1"/>
  </cols>
  <sheetData>
    <row r="1" spans="1:17" ht="30" customHeight="1">
      <c r="A1" s="65" t="s">
        <v>37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17" ht="24.95" customHeight="1">
      <c r="A2" s="66" t="s">
        <v>323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8.25">
      <c r="A5" s="34" t="s">
        <v>1</v>
      </c>
      <c r="B5" s="34" t="s">
        <v>38</v>
      </c>
      <c r="C5" s="34" t="s">
        <v>39</v>
      </c>
      <c r="D5" s="34" t="s">
        <v>4</v>
      </c>
      <c r="E5" s="34" t="s">
        <v>5</v>
      </c>
      <c r="F5" s="34" t="s">
        <v>6</v>
      </c>
      <c r="G5" s="34" t="s">
        <v>7</v>
      </c>
      <c r="H5" s="34" t="s">
        <v>8</v>
      </c>
      <c r="I5" s="34" t="s">
        <v>9</v>
      </c>
      <c r="J5" s="34" t="s">
        <v>10</v>
      </c>
      <c r="K5" s="34" t="s">
        <v>11</v>
      </c>
      <c r="L5" s="34" t="s">
        <v>12</v>
      </c>
      <c r="M5" s="34" t="s">
        <v>13</v>
      </c>
      <c r="N5" s="34" t="s">
        <v>40</v>
      </c>
      <c r="O5" s="34" t="s">
        <v>41</v>
      </c>
      <c r="P5" s="34" t="s">
        <v>42</v>
      </c>
      <c r="Q5" s="34" t="s">
        <v>43</v>
      </c>
    </row>
    <row r="6" spans="1:17" ht="36" customHeight="1">
      <c r="A6" s="7" t="s">
        <v>14</v>
      </c>
      <c r="B6" s="8">
        <v>8006</v>
      </c>
      <c r="C6" s="8">
        <v>10438</v>
      </c>
      <c r="D6" s="9">
        <f>C6-B6</f>
        <v>2432</v>
      </c>
      <c r="E6" s="10">
        <f>IF(B6=0,"",D6/B6)</f>
        <v>0.3037721708718461</v>
      </c>
      <c r="F6" s="11">
        <v>4507808.3499999996</v>
      </c>
      <c r="G6" s="11">
        <v>5809773.5800000001</v>
      </c>
      <c r="H6" s="12">
        <f>G6-F6</f>
        <v>1301965.2300000004</v>
      </c>
      <c r="I6" s="11">
        <f t="shared" ref="I6:J10" si="0">IF(B6=0,"",F6/B6)</f>
        <v>563.05375343492381</v>
      </c>
      <c r="J6" s="11">
        <f t="shared" si="0"/>
        <v>556.59835025867028</v>
      </c>
      <c r="K6" s="12">
        <f>J6-I6</f>
        <v>-6.455403176253526</v>
      </c>
      <c r="L6" s="8">
        <v>71</v>
      </c>
      <c r="M6" s="8">
        <v>65</v>
      </c>
      <c r="N6" s="8">
        <v>47</v>
      </c>
      <c r="O6" s="8">
        <v>50</v>
      </c>
      <c r="P6" s="8">
        <v>9</v>
      </c>
      <c r="Q6" s="8">
        <v>6</v>
      </c>
    </row>
    <row r="7" spans="1:17" ht="36" customHeight="1">
      <c r="A7" s="7" t="s">
        <v>15</v>
      </c>
      <c r="B7" s="8">
        <v>8858</v>
      </c>
      <c r="C7" s="8">
        <v>6003</v>
      </c>
      <c r="D7" s="9">
        <f>C7-B7</f>
        <v>-2855</v>
      </c>
      <c r="E7" s="10">
        <f>IF(B7=0,"",D7/B7)</f>
        <v>-0.32230751862722962</v>
      </c>
      <c r="F7" s="11">
        <v>4079608.24</v>
      </c>
      <c r="G7" s="11">
        <v>2621516.2000000002</v>
      </c>
      <c r="H7" s="12">
        <f>G7-F7</f>
        <v>-1458092.04</v>
      </c>
      <c r="I7" s="11">
        <f t="shared" si="0"/>
        <v>460.55636035222398</v>
      </c>
      <c r="J7" s="11">
        <f t="shared" si="0"/>
        <v>436.70101615858738</v>
      </c>
      <c r="K7" s="12">
        <f>J7-I7</f>
        <v>-23.855344193636597</v>
      </c>
      <c r="L7" s="8">
        <v>45</v>
      </c>
      <c r="M7" s="8">
        <v>40</v>
      </c>
      <c r="N7" s="8">
        <v>41</v>
      </c>
      <c r="O7" s="8">
        <v>42</v>
      </c>
      <c r="P7" s="8">
        <v>4</v>
      </c>
      <c r="Q7" s="8">
        <v>3</v>
      </c>
    </row>
    <row r="8" spans="1:17" ht="36" customHeight="1">
      <c r="A8" s="7" t="s">
        <v>16</v>
      </c>
      <c r="B8" s="8">
        <v>5614</v>
      </c>
      <c r="C8" s="8">
        <v>6291</v>
      </c>
      <c r="D8" s="9">
        <f>C8-B8</f>
        <v>677</v>
      </c>
      <c r="E8" s="10">
        <f>IF(B8=0,"",D8/B8)</f>
        <v>0.12059137869611684</v>
      </c>
      <c r="F8" s="11">
        <v>3020954.74</v>
      </c>
      <c r="G8" s="11">
        <v>3010961.88</v>
      </c>
      <c r="H8" s="12">
        <f>G8-F8</f>
        <v>-9992.8600000003353</v>
      </c>
      <c r="I8" s="11">
        <f t="shared" si="0"/>
        <v>538.1109262557892</v>
      </c>
      <c r="J8" s="11">
        <f t="shared" si="0"/>
        <v>478.61419170243204</v>
      </c>
      <c r="K8" s="12">
        <f>J8-I8</f>
        <v>-59.496734553357157</v>
      </c>
      <c r="L8" s="8">
        <v>53</v>
      </c>
      <c r="M8" s="8">
        <v>43</v>
      </c>
      <c r="N8" s="8">
        <v>43</v>
      </c>
      <c r="O8" s="8">
        <v>37</v>
      </c>
      <c r="P8" s="8">
        <v>5</v>
      </c>
      <c r="Q8" s="8">
        <v>11</v>
      </c>
    </row>
    <row r="9" spans="1:17" ht="36" customHeight="1">
      <c r="A9" s="7" t="s">
        <v>17</v>
      </c>
      <c r="B9" s="8">
        <v>473</v>
      </c>
      <c r="C9" s="8">
        <v>808</v>
      </c>
      <c r="D9" s="9">
        <f>C9-B9</f>
        <v>335</v>
      </c>
      <c r="E9" s="10">
        <f>IF(B9=0,"",D9/B9)</f>
        <v>0.70824524312896409</v>
      </c>
      <c r="F9" s="11">
        <v>255838.71</v>
      </c>
      <c r="G9" s="11">
        <v>541135.47</v>
      </c>
      <c r="H9" s="12">
        <f>G9-F9</f>
        <v>285296.76</v>
      </c>
      <c r="I9" s="11">
        <f t="shared" si="0"/>
        <v>540.88522198731505</v>
      </c>
      <c r="J9" s="11">
        <f t="shared" si="0"/>
        <v>669.72211633663358</v>
      </c>
      <c r="K9" s="12">
        <f>J9-I9</f>
        <v>128.83689434931853</v>
      </c>
      <c r="L9" s="8">
        <v>6</v>
      </c>
      <c r="M9" s="8">
        <v>7</v>
      </c>
      <c r="N9" s="8">
        <v>21</v>
      </c>
      <c r="O9" s="8">
        <v>17</v>
      </c>
      <c r="P9" s="8">
        <v>3</v>
      </c>
      <c r="Q9" s="8">
        <v>7</v>
      </c>
    </row>
    <row r="10" spans="1:17" ht="36" customHeight="1">
      <c r="A10" s="35" t="s">
        <v>18</v>
      </c>
      <c r="B10" s="36">
        <v>22951</v>
      </c>
      <c r="C10" s="36">
        <v>23540</v>
      </c>
      <c r="D10" s="37">
        <f>C10-B10</f>
        <v>589</v>
      </c>
      <c r="E10" s="38">
        <f>IF(B10=0,"",D10/B10)</f>
        <v>2.566336978780881E-2</v>
      </c>
      <c r="F10" s="39">
        <v>11864210.040000001</v>
      </c>
      <c r="G10" s="39">
        <v>11983387.130000001</v>
      </c>
      <c r="H10" s="40">
        <f>G10-F10</f>
        <v>119177.08999999985</v>
      </c>
      <c r="I10" s="39">
        <f t="shared" si="0"/>
        <v>516.93651867021049</v>
      </c>
      <c r="J10" s="39">
        <f t="shared" si="0"/>
        <v>509.06487383177574</v>
      </c>
      <c r="K10" s="40">
        <f>J10-I10</f>
        <v>-7.8716448384347473</v>
      </c>
      <c r="L10" s="36">
        <v>168</v>
      </c>
      <c r="M10" s="36">
        <v>153</v>
      </c>
      <c r="N10" s="36">
        <v>62</v>
      </c>
      <c r="O10" s="36">
        <v>56</v>
      </c>
      <c r="P10" s="36">
        <v>2</v>
      </c>
      <c r="Q10" s="36">
        <v>8</v>
      </c>
    </row>
  </sheetData>
  <mergeCells count="2">
    <mergeCell ref="A1:Q1"/>
    <mergeCell ref="A2:Q2"/>
  </mergeCells>
  <conditionalFormatting sqref="D6:D9">
    <cfRule type="cellIs" dxfId="31" priority="1" operator="greaterThan">
      <formula>0</formula>
    </cfRule>
    <cfRule type="cellIs" dxfId="30" priority="2" operator="lessThan">
      <formula>0</formula>
    </cfRule>
  </conditionalFormatting>
  <conditionalFormatting sqref="H6:H9">
    <cfRule type="cellIs" dxfId="29" priority="3" operator="greaterThan">
      <formula>0</formula>
    </cfRule>
    <cfRule type="cellIs" dxfId="28" priority="4" operator="lessThan">
      <formula>0</formula>
    </cfRule>
  </conditionalFormatting>
  <conditionalFormatting sqref="K6:K9">
    <cfRule type="cellIs" dxfId="27" priority="5" operator="greaterThan">
      <formula>0</formula>
    </cfRule>
    <cfRule type="cellIs" dxfId="26" priority="6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L61"/>
  <sheetViews>
    <sheetView showGridLines="0" tabSelected="1" workbookViewId="0">
      <pane xSplit="4" ySplit="5" topLeftCell="G6" activePane="bottomRight" state="frozen"/>
      <selection activeCell="E3" sqref="E3"/>
      <selection pane="topRight" activeCell="E3" sqref="E3"/>
      <selection pane="bottomLeft" activeCell="E3" sqref="E3"/>
      <selection pane="bottomRight" activeCell="E3" sqref="E3"/>
    </sheetView>
  </sheetViews>
  <sheetFormatPr defaultRowHeight="14.25"/>
  <cols>
    <col min="1" max="1" width="26" customWidth="1"/>
    <col min="2" max="2" width="13" customWidth="1"/>
    <col min="3" max="3" width="10" customWidth="1"/>
    <col min="4" max="4" width="68" customWidth="1"/>
    <col min="5" max="6" width="13" customWidth="1"/>
    <col min="7" max="7" width="12" customWidth="1"/>
    <col min="8" max="10" width="16" customWidth="1"/>
    <col min="11" max="12" width="17" customWidth="1"/>
  </cols>
  <sheetData>
    <row r="1" spans="1:12" ht="30" customHeight="1">
      <c r="A1" s="65" t="s">
        <v>44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24.95" customHeight="1">
      <c r="A2" s="66" t="s">
        <v>45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8.25">
      <c r="A5" s="3" t="s">
        <v>1</v>
      </c>
      <c r="B5" s="4" t="s">
        <v>46</v>
      </c>
      <c r="C5" s="4" t="s">
        <v>21</v>
      </c>
      <c r="D5" s="4" t="s">
        <v>22</v>
      </c>
      <c r="E5" s="4" t="s">
        <v>38</v>
      </c>
      <c r="F5" s="4" t="s">
        <v>39</v>
      </c>
      <c r="G5" s="4" t="s">
        <v>4</v>
      </c>
      <c r="H5" s="4" t="s">
        <v>6</v>
      </c>
      <c r="I5" s="4" t="s">
        <v>7</v>
      </c>
      <c r="J5" s="4" t="s">
        <v>8</v>
      </c>
      <c r="K5" s="4" t="s">
        <v>9</v>
      </c>
      <c r="L5" s="5" t="s">
        <v>10</v>
      </c>
    </row>
    <row r="6" spans="1:12" ht="32.1" customHeight="1">
      <c r="A6" s="6" t="s">
        <v>14</v>
      </c>
      <c r="B6" s="7" t="s">
        <v>47</v>
      </c>
      <c r="C6" s="30">
        <v>1442</v>
      </c>
      <c r="D6" s="23" t="s">
        <v>48</v>
      </c>
      <c r="E6" s="8">
        <v>1226</v>
      </c>
      <c r="F6" s="8">
        <v>1666</v>
      </c>
      <c r="G6" s="9">
        <f t="shared" ref="G6:G37" si="0">F6-E6</f>
        <v>440</v>
      </c>
      <c r="H6" s="11">
        <v>538569.54</v>
      </c>
      <c r="I6" s="11">
        <v>731857.14</v>
      </c>
      <c r="J6" s="12">
        <f t="shared" ref="J6:J37" si="1">I6-H6</f>
        <v>193287.59999999998</v>
      </c>
      <c r="K6" s="11">
        <f t="shared" ref="K6:K37" si="2">IF(E6=0,"",H6/E6)</f>
        <v>439.29</v>
      </c>
      <c r="L6" s="31">
        <f t="shared" ref="L6:L37" si="3">IF(F6=0,"",I6/F6)</f>
        <v>439.29</v>
      </c>
    </row>
    <row r="7" spans="1:12" ht="32.1" customHeight="1">
      <c r="A7" s="6" t="s">
        <v>14</v>
      </c>
      <c r="B7" s="7" t="s">
        <v>47</v>
      </c>
      <c r="C7" s="30">
        <v>2012</v>
      </c>
      <c r="D7" s="23" t="s">
        <v>49</v>
      </c>
      <c r="E7" s="8">
        <v>508</v>
      </c>
      <c r="F7" s="8">
        <v>835</v>
      </c>
      <c r="G7" s="9">
        <f t="shared" si="0"/>
        <v>327</v>
      </c>
      <c r="H7" s="11">
        <v>91729.56</v>
      </c>
      <c r="I7" s="11">
        <v>150775.95000000001</v>
      </c>
      <c r="J7" s="12">
        <f t="shared" si="1"/>
        <v>59046.390000000014</v>
      </c>
      <c r="K7" s="11">
        <f t="shared" si="2"/>
        <v>180.57</v>
      </c>
      <c r="L7" s="31">
        <f t="shared" si="3"/>
        <v>180.57000000000002</v>
      </c>
    </row>
    <row r="8" spans="1:12" ht="32.1" customHeight="1">
      <c r="A8" s="6" t="s">
        <v>14</v>
      </c>
      <c r="B8" s="7" t="s">
        <v>47</v>
      </c>
      <c r="C8" s="30">
        <v>8003</v>
      </c>
      <c r="D8" s="23" t="s">
        <v>25</v>
      </c>
      <c r="E8" s="8">
        <v>106</v>
      </c>
      <c r="F8" s="8">
        <v>413</v>
      </c>
      <c r="G8" s="9">
        <f t="shared" si="0"/>
        <v>307</v>
      </c>
      <c r="H8" s="11">
        <v>57450.94</v>
      </c>
      <c r="I8" s="11">
        <v>223841.87</v>
      </c>
      <c r="J8" s="12">
        <f t="shared" si="1"/>
        <v>166390.93</v>
      </c>
      <c r="K8" s="11">
        <f t="shared" si="2"/>
        <v>541.99</v>
      </c>
      <c r="L8" s="31">
        <f t="shared" si="3"/>
        <v>541.99</v>
      </c>
    </row>
    <row r="9" spans="1:12" ht="32.1" customHeight="1">
      <c r="A9" s="6" t="s">
        <v>14</v>
      </c>
      <c r="B9" s="7" t="s">
        <v>47</v>
      </c>
      <c r="C9" s="30">
        <v>1441</v>
      </c>
      <c r="D9" s="23" t="s">
        <v>30</v>
      </c>
      <c r="E9" s="8">
        <v>330</v>
      </c>
      <c r="F9" s="8">
        <v>547</v>
      </c>
      <c r="G9" s="9">
        <f t="shared" si="0"/>
        <v>217</v>
      </c>
      <c r="H9" s="11">
        <v>164960.4</v>
      </c>
      <c r="I9" s="11">
        <v>273434.36</v>
      </c>
      <c r="J9" s="12">
        <f t="shared" si="1"/>
        <v>108473.95999999999</v>
      </c>
      <c r="K9" s="11">
        <f t="shared" si="2"/>
        <v>499.88</v>
      </c>
      <c r="L9" s="31">
        <f t="shared" si="3"/>
        <v>499.88</v>
      </c>
    </row>
    <row r="10" spans="1:12" ht="32.1" customHeight="1">
      <c r="A10" s="6" t="s">
        <v>14</v>
      </c>
      <c r="B10" s="7" t="s">
        <v>47</v>
      </c>
      <c r="C10" s="30">
        <v>22721</v>
      </c>
      <c r="D10" s="23" t="s">
        <v>50</v>
      </c>
      <c r="E10" s="8">
        <v>426</v>
      </c>
      <c r="F10" s="8">
        <v>588</v>
      </c>
      <c r="G10" s="9">
        <f t="shared" si="0"/>
        <v>162</v>
      </c>
      <c r="H10" s="11">
        <v>183657.12</v>
      </c>
      <c r="I10" s="11">
        <v>253498.56</v>
      </c>
      <c r="J10" s="12">
        <f t="shared" si="1"/>
        <v>69841.440000000002</v>
      </c>
      <c r="K10" s="11">
        <f t="shared" si="2"/>
        <v>431.12</v>
      </c>
      <c r="L10" s="31">
        <f t="shared" si="3"/>
        <v>431.12</v>
      </c>
    </row>
    <row r="11" spans="1:12" ht="32.1" customHeight="1">
      <c r="A11" s="6" t="s">
        <v>14</v>
      </c>
      <c r="B11" s="7" t="s">
        <v>47</v>
      </c>
      <c r="C11" s="30">
        <v>1984</v>
      </c>
      <c r="D11" s="23" t="s">
        <v>51</v>
      </c>
      <c r="E11" s="8">
        <v>326</v>
      </c>
      <c r="F11" s="8">
        <v>463</v>
      </c>
      <c r="G11" s="9">
        <f t="shared" si="0"/>
        <v>137</v>
      </c>
      <c r="H11" s="11">
        <v>687801.32</v>
      </c>
      <c r="I11" s="11">
        <v>976846.66</v>
      </c>
      <c r="J11" s="12">
        <f t="shared" si="1"/>
        <v>289045.34000000008</v>
      </c>
      <c r="K11" s="11">
        <f t="shared" si="2"/>
        <v>2109.8199999999997</v>
      </c>
      <c r="L11" s="31">
        <f t="shared" si="3"/>
        <v>2109.8200000000002</v>
      </c>
    </row>
    <row r="12" spans="1:12" ht="32.1" customHeight="1">
      <c r="A12" s="6" t="s">
        <v>14</v>
      </c>
      <c r="B12" s="7" t="s">
        <v>47</v>
      </c>
      <c r="C12" s="30">
        <v>2004</v>
      </c>
      <c r="D12" s="23" t="s">
        <v>34</v>
      </c>
      <c r="E12" s="8">
        <v>1141</v>
      </c>
      <c r="F12" s="8">
        <v>1275</v>
      </c>
      <c r="G12" s="9">
        <f t="shared" si="0"/>
        <v>134</v>
      </c>
      <c r="H12" s="11">
        <v>69966.12</v>
      </c>
      <c r="I12" s="11">
        <v>78428.28</v>
      </c>
      <c r="J12" s="12">
        <f t="shared" si="1"/>
        <v>8462.1600000000035</v>
      </c>
      <c r="K12" s="11">
        <f t="shared" si="2"/>
        <v>61.319999999999993</v>
      </c>
      <c r="L12" s="31">
        <f t="shared" si="3"/>
        <v>61.512376470588237</v>
      </c>
    </row>
    <row r="13" spans="1:12" ht="32.1" customHeight="1">
      <c r="A13" s="6" t="s">
        <v>14</v>
      </c>
      <c r="B13" s="7" t="s">
        <v>52</v>
      </c>
      <c r="C13" s="30">
        <v>40041</v>
      </c>
      <c r="D13" s="23" t="s">
        <v>53</v>
      </c>
      <c r="E13" s="8">
        <v>149</v>
      </c>
      <c r="F13" s="8">
        <v>113</v>
      </c>
      <c r="G13" s="9">
        <f t="shared" si="0"/>
        <v>-36</v>
      </c>
      <c r="H13" s="11">
        <v>436564.04</v>
      </c>
      <c r="I13" s="11">
        <v>331085.48</v>
      </c>
      <c r="J13" s="12">
        <f t="shared" si="1"/>
        <v>-105478.56</v>
      </c>
      <c r="K13" s="11">
        <f t="shared" si="2"/>
        <v>2929.96</v>
      </c>
      <c r="L13" s="31">
        <f t="shared" si="3"/>
        <v>2929.96</v>
      </c>
    </row>
    <row r="14" spans="1:12" ht="32.1" customHeight="1">
      <c r="A14" s="6" t="s">
        <v>14</v>
      </c>
      <c r="B14" s="7" t="s">
        <v>52</v>
      </c>
      <c r="C14" s="30">
        <v>40052</v>
      </c>
      <c r="D14" s="23" t="s">
        <v>31</v>
      </c>
      <c r="E14" s="8">
        <v>254</v>
      </c>
      <c r="F14" s="8">
        <v>233</v>
      </c>
      <c r="G14" s="9">
        <f t="shared" si="0"/>
        <v>-21</v>
      </c>
      <c r="H14" s="11">
        <v>36154.36</v>
      </c>
      <c r="I14" s="11">
        <v>33165.22</v>
      </c>
      <c r="J14" s="12">
        <f t="shared" si="1"/>
        <v>-2989.1399999999994</v>
      </c>
      <c r="K14" s="11">
        <f t="shared" si="2"/>
        <v>142.34</v>
      </c>
      <c r="L14" s="31">
        <f t="shared" si="3"/>
        <v>142.34</v>
      </c>
    </row>
    <row r="15" spans="1:12" ht="32.1" customHeight="1">
      <c r="A15" s="6" t="s">
        <v>14</v>
      </c>
      <c r="B15" s="7" t="s">
        <v>52</v>
      </c>
      <c r="C15" s="30">
        <v>2001</v>
      </c>
      <c r="D15" s="23" t="s">
        <v>54</v>
      </c>
      <c r="E15" s="8">
        <v>16</v>
      </c>
      <c r="F15" s="8">
        <v>0</v>
      </c>
      <c r="G15" s="9">
        <f t="shared" si="0"/>
        <v>-16</v>
      </c>
      <c r="H15" s="11">
        <v>747.52</v>
      </c>
      <c r="I15" s="11">
        <v>0</v>
      </c>
      <c r="J15" s="12">
        <f t="shared" si="1"/>
        <v>-747.52</v>
      </c>
      <c r="K15" s="11">
        <f t="shared" si="2"/>
        <v>46.72</v>
      </c>
      <c r="L15" s="31" t="str">
        <f t="shared" si="3"/>
        <v/>
      </c>
    </row>
    <row r="16" spans="1:12" ht="32.1" customHeight="1">
      <c r="A16" s="6" t="s">
        <v>14</v>
      </c>
      <c r="B16" s="7" t="s">
        <v>52</v>
      </c>
      <c r="C16" s="30">
        <v>1849</v>
      </c>
      <c r="D16" s="23" t="s">
        <v>36</v>
      </c>
      <c r="E16" s="8">
        <v>120</v>
      </c>
      <c r="F16" s="8">
        <v>106</v>
      </c>
      <c r="G16" s="9">
        <f t="shared" si="0"/>
        <v>-14</v>
      </c>
      <c r="H16" s="11">
        <v>13502.4</v>
      </c>
      <c r="I16" s="11">
        <v>11927.12</v>
      </c>
      <c r="J16" s="12">
        <f t="shared" si="1"/>
        <v>-1575.2799999999988</v>
      </c>
      <c r="K16" s="11">
        <f t="shared" si="2"/>
        <v>112.52</v>
      </c>
      <c r="L16" s="31">
        <f t="shared" si="3"/>
        <v>112.52000000000001</v>
      </c>
    </row>
    <row r="17" spans="1:12" ht="32.1" customHeight="1">
      <c r="A17" s="6" t="s">
        <v>14</v>
      </c>
      <c r="B17" s="7" t="s">
        <v>52</v>
      </c>
      <c r="C17" s="30">
        <v>8089</v>
      </c>
      <c r="D17" s="23" t="s">
        <v>55</v>
      </c>
      <c r="E17" s="8">
        <v>32</v>
      </c>
      <c r="F17" s="8">
        <v>19</v>
      </c>
      <c r="G17" s="9">
        <f t="shared" si="0"/>
        <v>-13</v>
      </c>
      <c r="H17" s="11">
        <v>99193.279999999999</v>
      </c>
      <c r="I17" s="11">
        <v>58896.01</v>
      </c>
      <c r="J17" s="12">
        <f t="shared" si="1"/>
        <v>-40297.269999999997</v>
      </c>
      <c r="K17" s="11">
        <f t="shared" si="2"/>
        <v>3099.79</v>
      </c>
      <c r="L17" s="31">
        <f t="shared" si="3"/>
        <v>3099.79</v>
      </c>
    </row>
    <row r="18" spans="1:12" ht="32.1" customHeight="1">
      <c r="A18" s="6" t="s">
        <v>14</v>
      </c>
      <c r="B18" s="7" t="s">
        <v>52</v>
      </c>
      <c r="C18" s="30">
        <v>40004</v>
      </c>
      <c r="D18" s="23" t="s">
        <v>56</v>
      </c>
      <c r="E18" s="8">
        <v>4</v>
      </c>
      <c r="F18" s="8">
        <v>1</v>
      </c>
      <c r="G18" s="9">
        <f t="shared" si="0"/>
        <v>-3</v>
      </c>
      <c r="H18" s="11">
        <v>553.79999999999995</v>
      </c>
      <c r="I18" s="11">
        <v>138.44999999999999</v>
      </c>
      <c r="J18" s="12">
        <f t="shared" si="1"/>
        <v>-415.34999999999997</v>
      </c>
      <c r="K18" s="11">
        <f t="shared" si="2"/>
        <v>138.44999999999999</v>
      </c>
      <c r="L18" s="31">
        <f t="shared" si="3"/>
        <v>138.44999999999999</v>
      </c>
    </row>
    <row r="19" spans="1:12" ht="32.1" customHeight="1">
      <c r="A19" s="6" t="s">
        <v>14</v>
      </c>
      <c r="B19" s="7" t="s">
        <v>52</v>
      </c>
      <c r="C19" s="30">
        <v>40095</v>
      </c>
      <c r="D19" s="23" t="s">
        <v>33</v>
      </c>
      <c r="E19" s="8">
        <v>3</v>
      </c>
      <c r="F19" s="8">
        <v>0</v>
      </c>
      <c r="G19" s="9">
        <f t="shared" si="0"/>
        <v>-3</v>
      </c>
      <c r="H19" s="11">
        <v>2122.56</v>
      </c>
      <c r="I19" s="11">
        <v>0</v>
      </c>
      <c r="J19" s="12">
        <f t="shared" si="1"/>
        <v>-2122.56</v>
      </c>
      <c r="K19" s="11">
        <f t="shared" si="2"/>
        <v>707.52</v>
      </c>
      <c r="L19" s="31" t="str">
        <f t="shared" si="3"/>
        <v/>
      </c>
    </row>
    <row r="20" spans="1:12" ht="32.1" customHeight="1">
      <c r="A20" s="6" t="s">
        <v>15</v>
      </c>
      <c r="B20" s="7" t="s">
        <v>47</v>
      </c>
      <c r="C20" s="30">
        <v>40054</v>
      </c>
      <c r="D20" s="23" t="s">
        <v>29</v>
      </c>
      <c r="E20" s="8">
        <v>94</v>
      </c>
      <c r="F20" s="8">
        <v>129</v>
      </c>
      <c r="G20" s="9">
        <f t="shared" si="0"/>
        <v>35</v>
      </c>
      <c r="H20" s="11">
        <v>12619.5</v>
      </c>
      <c r="I20" s="11">
        <v>17318.25</v>
      </c>
      <c r="J20" s="12">
        <f t="shared" si="1"/>
        <v>4698.75</v>
      </c>
      <c r="K20" s="11">
        <f t="shared" si="2"/>
        <v>134.25</v>
      </c>
      <c r="L20" s="31">
        <f t="shared" si="3"/>
        <v>134.25</v>
      </c>
    </row>
    <row r="21" spans="1:12" ht="32.1" customHeight="1">
      <c r="A21" s="6" t="s">
        <v>15</v>
      </c>
      <c r="B21" s="7" t="s">
        <v>47</v>
      </c>
      <c r="C21" s="30">
        <v>8003</v>
      </c>
      <c r="D21" s="23" t="s">
        <v>25</v>
      </c>
      <c r="E21" s="8">
        <v>68</v>
      </c>
      <c r="F21" s="8">
        <v>98</v>
      </c>
      <c r="G21" s="9">
        <f t="shared" si="0"/>
        <v>30</v>
      </c>
      <c r="H21" s="11">
        <v>36855.32</v>
      </c>
      <c r="I21" s="11">
        <v>53115.02</v>
      </c>
      <c r="J21" s="12">
        <f t="shared" si="1"/>
        <v>16259.699999999997</v>
      </c>
      <c r="K21" s="11">
        <f t="shared" si="2"/>
        <v>541.99</v>
      </c>
      <c r="L21" s="31">
        <f t="shared" si="3"/>
        <v>541.99</v>
      </c>
    </row>
    <row r="22" spans="1:12" ht="32.1" customHeight="1">
      <c r="A22" s="6" t="s">
        <v>15</v>
      </c>
      <c r="B22" s="7" t="s">
        <v>47</v>
      </c>
      <c r="C22" s="30">
        <v>8017</v>
      </c>
      <c r="D22" s="23" t="s">
        <v>57</v>
      </c>
      <c r="E22" s="8">
        <v>0</v>
      </c>
      <c r="F22" s="8">
        <v>21</v>
      </c>
      <c r="G22" s="9">
        <f t="shared" si="0"/>
        <v>21</v>
      </c>
      <c r="H22" s="11">
        <v>0</v>
      </c>
      <c r="I22" s="11">
        <v>5272.05</v>
      </c>
      <c r="J22" s="12">
        <f t="shared" si="1"/>
        <v>5272.05</v>
      </c>
      <c r="K22" s="11" t="str">
        <f t="shared" si="2"/>
        <v/>
      </c>
      <c r="L22" s="31">
        <f t="shared" si="3"/>
        <v>251.05</v>
      </c>
    </row>
    <row r="23" spans="1:12" ht="32.1" customHeight="1">
      <c r="A23" s="6" t="s">
        <v>15</v>
      </c>
      <c r="B23" s="7" t="s">
        <v>47</v>
      </c>
      <c r="C23" s="30">
        <v>40091</v>
      </c>
      <c r="D23" s="23" t="s">
        <v>58</v>
      </c>
      <c r="E23" s="8">
        <v>0</v>
      </c>
      <c r="F23" s="8">
        <v>11</v>
      </c>
      <c r="G23" s="9">
        <f t="shared" si="0"/>
        <v>11</v>
      </c>
      <c r="H23" s="11">
        <v>0</v>
      </c>
      <c r="I23" s="11">
        <v>1174.9100000000001</v>
      </c>
      <c r="J23" s="12">
        <f t="shared" si="1"/>
        <v>1174.9100000000001</v>
      </c>
      <c r="K23" s="11" t="str">
        <f t="shared" si="2"/>
        <v/>
      </c>
      <c r="L23" s="31">
        <f t="shared" si="3"/>
        <v>106.81</v>
      </c>
    </row>
    <row r="24" spans="1:12" ht="32.1" customHeight="1">
      <c r="A24" s="6" t="s">
        <v>15</v>
      </c>
      <c r="B24" s="7" t="s">
        <v>47</v>
      </c>
      <c r="C24" s="30">
        <v>8089</v>
      </c>
      <c r="D24" s="23" t="s">
        <v>55</v>
      </c>
      <c r="E24" s="8">
        <v>4</v>
      </c>
      <c r="F24" s="8">
        <v>11</v>
      </c>
      <c r="G24" s="9">
        <f t="shared" si="0"/>
        <v>7</v>
      </c>
      <c r="H24" s="11">
        <v>12399.16</v>
      </c>
      <c r="I24" s="11">
        <v>34097.69</v>
      </c>
      <c r="J24" s="12">
        <f t="shared" si="1"/>
        <v>21698.530000000002</v>
      </c>
      <c r="K24" s="11">
        <f t="shared" si="2"/>
        <v>3099.79</v>
      </c>
      <c r="L24" s="31">
        <f t="shared" si="3"/>
        <v>3099.7900000000004</v>
      </c>
    </row>
    <row r="25" spans="1:12" ht="32.1" customHeight="1">
      <c r="A25" s="6" t="s">
        <v>15</v>
      </c>
      <c r="B25" s="7" t="s">
        <v>47</v>
      </c>
      <c r="C25" s="30">
        <v>8086</v>
      </c>
      <c r="D25" s="23" t="s">
        <v>59</v>
      </c>
      <c r="E25" s="8">
        <v>1</v>
      </c>
      <c r="F25" s="8">
        <v>4</v>
      </c>
      <c r="G25" s="9">
        <f t="shared" si="0"/>
        <v>3</v>
      </c>
      <c r="H25" s="11">
        <v>1211.8</v>
      </c>
      <c r="I25" s="11">
        <v>4847.2</v>
      </c>
      <c r="J25" s="12">
        <f t="shared" si="1"/>
        <v>3635.3999999999996</v>
      </c>
      <c r="K25" s="11">
        <f t="shared" si="2"/>
        <v>1211.8</v>
      </c>
      <c r="L25" s="31">
        <f t="shared" si="3"/>
        <v>1211.8</v>
      </c>
    </row>
    <row r="26" spans="1:12" ht="32.1" customHeight="1">
      <c r="A26" s="6" t="s">
        <v>15</v>
      </c>
      <c r="B26" s="7" t="s">
        <v>47</v>
      </c>
      <c r="C26" s="30">
        <v>3053</v>
      </c>
      <c r="D26" s="23" t="s">
        <v>60</v>
      </c>
      <c r="E26" s="8">
        <v>3</v>
      </c>
      <c r="F26" s="8">
        <v>5</v>
      </c>
      <c r="G26" s="9">
        <f t="shared" si="0"/>
        <v>2</v>
      </c>
      <c r="H26" s="11">
        <v>1736.58</v>
      </c>
      <c r="I26" s="11">
        <v>2894.3</v>
      </c>
      <c r="J26" s="12">
        <f t="shared" si="1"/>
        <v>1157.7200000000003</v>
      </c>
      <c r="K26" s="11">
        <f t="shared" si="2"/>
        <v>578.86</v>
      </c>
      <c r="L26" s="31">
        <f t="shared" si="3"/>
        <v>578.86</v>
      </c>
    </row>
    <row r="27" spans="1:12" ht="32.1" customHeight="1">
      <c r="A27" s="6" t="s">
        <v>15</v>
      </c>
      <c r="B27" s="7" t="s">
        <v>52</v>
      </c>
      <c r="C27" s="30">
        <v>1442</v>
      </c>
      <c r="D27" s="23" t="s">
        <v>48</v>
      </c>
      <c r="E27" s="8">
        <v>1412</v>
      </c>
      <c r="F27" s="8">
        <v>843</v>
      </c>
      <c r="G27" s="9">
        <f t="shared" si="0"/>
        <v>-569</v>
      </c>
      <c r="H27" s="11">
        <v>620277.48</v>
      </c>
      <c r="I27" s="11">
        <v>370321.47</v>
      </c>
      <c r="J27" s="12">
        <f t="shared" si="1"/>
        <v>-249956.01</v>
      </c>
      <c r="K27" s="11">
        <f t="shared" si="2"/>
        <v>439.28999999999996</v>
      </c>
      <c r="L27" s="31">
        <f t="shared" si="3"/>
        <v>439.28999999999996</v>
      </c>
    </row>
    <row r="28" spans="1:12" ht="32.1" customHeight="1">
      <c r="A28" s="6" t="s">
        <v>15</v>
      </c>
      <c r="B28" s="7" t="s">
        <v>52</v>
      </c>
      <c r="C28" s="30">
        <v>1441</v>
      </c>
      <c r="D28" s="23" t="s">
        <v>30</v>
      </c>
      <c r="E28" s="8">
        <v>892</v>
      </c>
      <c r="F28" s="8">
        <v>522</v>
      </c>
      <c r="G28" s="9">
        <f t="shared" si="0"/>
        <v>-370</v>
      </c>
      <c r="H28" s="11">
        <v>445892.96</v>
      </c>
      <c r="I28" s="11">
        <v>260937.36</v>
      </c>
      <c r="J28" s="12">
        <f t="shared" si="1"/>
        <v>-184955.60000000003</v>
      </c>
      <c r="K28" s="11">
        <f t="shared" si="2"/>
        <v>499.88</v>
      </c>
      <c r="L28" s="31">
        <f t="shared" si="3"/>
        <v>499.88</v>
      </c>
    </row>
    <row r="29" spans="1:12" ht="32.1" customHeight="1">
      <c r="A29" s="6" t="s">
        <v>15</v>
      </c>
      <c r="B29" s="7" t="s">
        <v>52</v>
      </c>
      <c r="C29" s="30">
        <v>2012</v>
      </c>
      <c r="D29" s="23" t="s">
        <v>49</v>
      </c>
      <c r="E29" s="8">
        <v>907</v>
      </c>
      <c r="F29" s="8">
        <v>560</v>
      </c>
      <c r="G29" s="9">
        <f t="shared" si="0"/>
        <v>-347</v>
      </c>
      <c r="H29" s="11">
        <v>163776.99</v>
      </c>
      <c r="I29" s="11">
        <v>101119.2</v>
      </c>
      <c r="J29" s="12">
        <f t="shared" si="1"/>
        <v>-62657.789999999994</v>
      </c>
      <c r="K29" s="11">
        <f t="shared" si="2"/>
        <v>180.57</v>
      </c>
      <c r="L29" s="31">
        <f t="shared" si="3"/>
        <v>180.57</v>
      </c>
    </row>
    <row r="30" spans="1:12" ht="32.1" customHeight="1">
      <c r="A30" s="6" t="s">
        <v>15</v>
      </c>
      <c r="B30" s="7" t="s">
        <v>52</v>
      </c>
      <c r="C30" s="30">
        <v>2004</v>
      </c>
      <c r="D30" s="23" t="s">
        <v>34</v>
      </c>
      <c r="E30" s="8">
        <v>1037</v>
      </c>
      <c r="F30" s="8">
        <v>760</v>
      </c>
      <c r="G30" s="9">
        <f t="shared" si="0"/>
        <v>-277</v>
      </c>
      <c r="H30" s="11">
        <v>63588.84</v>
      </c>
      <c r="I30" s="11">
        <v>46603.199999999997</v>
      </c>
      <c r="J30" s="12">
        <f t="shared" si="1"/>
        <v>-16985.64</v>
      </c>
      <c r="K30" s="11">
        <f t="shared" si="2"/>
        <v>61.319999999999993</v>
      </c>
      <c r="L30" s="31">
        <f t="shared" si="3"/>
        <v>61.319999999999993</v>
      </c>
    </row>
    <row r="31" spans="1:12" ht="32.1" customHeight="1">
      <c r="A31" s="6" t="s">
        <v>15</v>
      </c>
      <c r="B31" s="7" t="s">
        <v>52</v>
      </c>
      <c r="C31" s="30">
        <v>1981</v>
      </c>
      <c r="D31" s="23" t="s">
        <v>26</v>
      </c>
      <c r="E31" s="8">
        <v>560</v>
      </c>
      <c r="F31" s="8">
        <v>304</v>
      </c>
      <c r="G31" s="9">
        <f t="shared" si="0"/>
        <v>-256</v>
      </c>
      <c r="H31" s="11">
        <v>505881.59999999998</v>
      </c>
      <c r="I31" s="11">
        <v>274621.44</v>
      </c>
      <c r="J31" s="12">
        <f t="shared" si="1"/>
        <v>-231260.15999999997</v>
      </c>
      <c r="K31" s="11">
        <f t="shared" si="2"/>
        <v>903.36</v>
      </c>
      <c r="L31" s="31">
        <f t="shared" si="3"/>
        <v>903.36</v>
      </c>
    </row>
    <row r="32" spans="1:12" ht="32.1" customHeight="1">
      <c r="A32" s="6" t="s">
        <v>15</v>
      </c>
      <c r="B32" s="7" t="s">
        <v>52</v>
      </c>
      <c r="C32" s="30">
        <v>2013</v>
      </c>
      <c r="D32" s="23" t="s">
        <v>61</v>
      </c>
      <c r="E32" s="8">
        <v>535</v>
      </c>
      <c r="F32" s="8">
        <v>336</v>
      </c>
      <c r="G32" s="9">
        <f t="shared" si="0"/>
        <v>-199</v>
      </c>
      <c r="H32" s="11">
        <v>96604.95</v>
      </c>
      <c r="I32" s="11">
        <v>60671.519999999997</v>
      </c>
      <c r="J32" s="12">
        <f t="shared" si="1"/>
        <v>-35933.43</v>
      </c>
      <c r="K32" s="11">
        <f t="shared" si="2"/>
        <v>180.57</v>
      </c>
      <c r="L32" s="31">
        <f t="shared" si="3"/>
        <v>180.57</v>
      </c>
    </row>
    <row r="33" spans="1:12" ht="32.1" customHeight="1">
      <c r="A33" s="6" t="s">
        <v>15</v>
      </c>
      <c r="B33" s="7" t="s">
        <v>52</v>
      </c>
      <c r="C33" s="30">
        <v>22721</v>
      </c>
      <c r="D33" s="23" t="s">
        <v>50</v>
      </c>
      <c r="E33" s="8">
        <v>449</v>
      </c>
      <c r="F33" s="8">
        <v>269</v>
      </c>
      <c r="G33" s="9">
        <f t="shared" si="0"/>
        <v>-180</v>
      </c>
      <c r="H33" s="11">
        <v>193572.88</v>
      </c>
      <c r="I33" s="11">
        <v>115971.28</v>
      </c>
      <c r="J33" s="12">
        <f t="shared" si="1"/>
        <v>-77601.600000000006</v>
      </c>
      <c r="K33" s="11">
        <f t="shared" si="2"/>
        <v>431.12</v>
      </c>
      <c r="L33" s="31">
        <f t="shared" si="3"/>
        <v>431.12</v>
      </c>
    </row>
    <row r="34" spans="1:12" ht="32.1" customHeight="1">
      <c r="A34" s="6" t="s">
        <v>16</v>
      </c>
      <c r="B34" s="7" t="s">
        <v>47</v>
      </c>
      <c r="C34" s="30">
        <v>40021</v>
      </c>
      <c r="D34" s="23" t="s">
        <v>27</v>
      </c>
      <c r="E34" s="8">
        <v>495</v>
      </c>
      <c r="F34" s="8">
        <v>716</v>
      </c>
      <c r="G34" s="9">
        <f t="shared" si="0"/>
        <v>221</v>
      </c>
      <c r="H34" s="11">
        <v>125136</v>
      </c>
      <c r="I34" s="11">
        <v>181004.79999999999</v>
      </c>
      <c r="J34" s="12">
        <f t="shared" si="1"/>
        <v>55868.799999999988</v>
      </c>
      <c r="K34" s="11">
        <f t="shared" si="2"/>
        <v>252.8</v>
      </c>
      <c r="L34" s="31">
        <f t="shared" si="3"/>
        <v>252.79999999999998</v>
      </c>
    </row>
    <row r="35" spans="1:12" ht="32.1" customHeight="1">
      <c r="A35" s="6" t="s">
        <v>16</v>
      </c>
      <c r="B35" s="7" t="s">
        <v>47</v>
      </c>
      <c r="C35" s="30">
        <v>40095</v>
      </c>
      <c r="D35" s="23" t="s">
        <v>33</v>
      </c>
      <c r="E35" s="8">
        <v>133</v>
      </c>
      <c r="F35" s="8">
        <v>279</v>
      </c>
      <c r="G35" s="9">
        <f t="shared" si="0"/>
        <v>146</v>
      </c>
      <c r="H35" s="11">
        <v>94100.160000000003</v>
      </c>
      <c r="I35" s="11">
        <v>197398.08</v>
      </c>
      <c r="J35" s="12">
        <f t="shared" si="1"/>
        <v>103297.91999999998</v>
      </c>
      <c r="K35" s="11">
        <f t="shared" si="2"/>
        <v>707.52</v>
      </c>
      <c r="L35" s="31">
        <f t="shared" si="3"/>
        <v>707.52</v>
      </c>
    </row>
    <row r="36" spans="1:12" ht="32.1" customHeight="1">
      <c r="A36" s="6" t="s">
        <v>16</v>
      </c>
      <c r="B36" s="7" t="s">
        <v>47</v>
      </c>
      <c r="C36" s="30">
        <v>40052</v>
      </c>
      <c r="D36" s="23" t="s">
        <v>31</v>
      </c>
      <c r="E36" s="8">
        <v>177</v>
      </c>
      <c r="F36" s="8">
        <v>312</v>
      </c>
      <c r="G36" s="9">
        <f t="shared" si="0"/>
        <v>135</v>
      </c>
      <c r="H36" s="11">
        <v>25194.18</v>
      </c>
      <c r="I36" s="11">
        <v>44410.080000000002</v>
      </c>
      <c r="J36" s="12">
        <f t="shared" si="1"/>
        <v>19215.900000000001</v>
      </c>
      <c r="K36" s="11">
        <f t="shared" si="2"/>
        <v>142.34</v>
      </c>
      <c r="L36" s="31">
        <f t="shared" si="3"/>
        <v>142.34</v>
      </c>
    </row>
    <row r="37" spans="1:12" ht="32.1" customHeight="1">
      <c r="A37" s="6" t="s">
        <v>16</v>
      </c>
      <c r="B37" s="7" t="s">
        <v>47</v>
      </c>
      <c r="C37" s="30">
        <v>40054</v>
      </c>
      <c r="D37" s="23" t="s">
        <v>29</v>
      </c>
      <c r="E37" s="8">
        <v>102</v>
      </c>
      <c r="F37" s="8">
        <v>231</v>
      </c>
      <c r="G37" s="9">
        <f t="shared" si="0"/>
        <v>129</v>
      </c>
      <c r="H37" s="11">
        <v>13693.5</v>
      </c>
      <c r="I37" s="11">
        <v>31011.75</v>
      </c>
      <c r="J37" s="12">
        <f t="shared" si="1"/>
        <v>17318.25</v>
      </c>
      <c r="K37" s="11">
        <f t="shared" si="2"/>
        <v>134.25</v>
      </c>
      <c r="L37" s="31">
        <f t="shared" si="3"/>
        <v>134.25</v>
      </c>
    </row>
    <row r="38" spans="1:12" ht="32.1" customHeight="1">
      <c r="A38" s="6" t="s">
        <v>16</v>
      </c>
      <c r="B38" s="7" t="s">
        <v>47</v>
      </c>
      <c r="C38" s="30">
        <v>40033</v>
      </c>
      <c r="D38" s="23" t="s">
        <v>62</v>
      </c>
      <c r="E38" s="8">
        <v>50</v>
      </c>
      <c r="F38" s="8">
        <v>126</v>
      </c>
      <c r="G38" s="9">
        <f t="shared" ref="G38:G61" si="4">F38-E38</f>
        <v>76</v>
      </c>
      <c r="H38" s="11">
        <v>5108.5</v>
      </c>
      <c r="I38" s="11">
        <v>12873.42</v>
      </c>
      <c r="J38" s="12">
        <f t="shared" ref="J38:J61" si="5">I38-H38</f>
        <v>7764.92</v>
      </c>
      <c r="K38" s="11">
        <f t="shared" ref="K38:K61" si="6">IF(E38=0,"",H38/E38)</f>
        <v>102.17</v>
      </c>
      <c r="L38" s="31">
        <f t="shared" ref="L38:L61" si="7">IF(F38=0,"",I38/F38)</f>
        <v>102.17</v>
      </c>
    </row>
    <row r="39" spans="1:12" ht="32.1" customHeight="1">
      <c r="A39" s="6" t="s">
        <v>16</v>
      </c>
      <c r="B39" s="7" t="s">
        <v>47</v>
      </c>
      <c r="C39" s="30">
        <v>2012</v>
      </c>
      <c r="D39" s="23" t="s">
        <v>49</v>
      </c>
      <c r="E39" s="8">
        <v>530</v>
      </c>
      <c r="F39" s="8">
        <v>587</v>
      </c>
      <c r="G39" s="9">
        <f t="shared" si="4"/>
        <v>57</v>
      </c>
      <c r="H39" s="11">
        <v>95702.1</v>
      </c>
      <c r="I39" s="11">
        <v>105994.59</v>
      </c>
      <c r="J39" s="12">
        <f t="shared" si="5"/>
        <v>10292.489999999991</v>
      </c>
      <c r="K39" s="11">
        <f t="shared" si="6"/>
        <v>180.57000000000002</v>
      </c>
      <c r="L39" s="31">
        <f t="shared" si="7"/>
        <v>180.57</v>
      </c>
    </row>
    <row r="40" spans="1:12" ht="32.1" customHeight="1">
      <c r="A40" s="6" t="s">
        <v>16</v>
      </c>
      <c r="B40" s="7" t="s">
        <v>47</v>
      </c>
      <c r="C40" s="30">
        <v>40004</v>
      </c>
      <c r="D40" s="23" t="s">
        <v>56</v>
      </c>
      <c r="E40" s="8">
        <v>60</v>
      </c>
      <c r="F40" s="8">
        <v>106</v>
      </c>
      <c r="G40" s="9">
        <f t="shared" si="4"/>
        <v>46</v>
      </c>
      <c r="H40" s="11">
        <v>8307</v>
      </c>
      <c r="I40" s="11">
        <v>14675.7</v>
      </c>
      <c r="J40" s="12">
        <f t="shared" si="5"/>
        <v>6368.7000000000007</v>
      </c>
      <c r="K40" s="11">
        <f t="shared" si="6"/>
        <v>138.44999999999999</v>
      </c>
      <c r="L40" s="31">
        <f t="shared" si="7"/>
        <v>138.45000000000002</v>
      </c>
    </row>
    <row r="41" spans="1:12" ht="32.1" customHeight="1">
      <c r="A41" s="6" t="s">
        <v>16</v>
      </c>
      <c r="B41" s="7" t="s">
        <v>52</v>
      </c>
      <c r="C41" s="30">
        <v>1981</v>
      </c>
      <c r="D41" s="23" t="s">
        <v>26</v>
      </c>
      <c r="E41" s="8">
        <v>451</v>
      </c>
      <c r="F41" s="8">
        <v>349</v>
      </c>
      <c r="G41" s="9">
        <f t="shared" si="4"/>
        <v>-102</v>
      </c>
      <c r="H41" s="11">
        <v>407415.36</v>
      </c>
      <c r="I41" s="11">
        <v>315272.64</v>
      </c>
      <c r="J41" s="12">
        <f t="shared" si="5"/>
        <v>-92142.719999999972</v>
      </c>
      <c r="K41" s="11">
        <f t="shared" si="6"/>
        <v>903.36</v>
      </c>
      <c r="L41" s="31">
        <f t="shared" si="7"/>
        <v>903.36</v>
      </c>
    </row>
    <row r="42" spans="1:12" ht="32.1" customHeight="1">
      <c r="A42" s="6" t="s">
        <v>16</v>
      </c>
      <c r="B42" s="7" t="s">
        <v>52</v>
      </c>
      <c r="C42" s="30">
        <v>22722</v>
      </c>
      <c r="D42" s="23" t="s">
        <v>28</v>
      </c>
      <c r="E42" s="8">
        <v>201</v>
      </c>
      <c r="F42" s="8">
        <v>127</v>
      </c>
      <c r="G42" s="9">
        <f t="shared" si="4"/>
        <v>-74</v>
      </c>
      <c r="H42" s="11">
        <v>104682.81</v>
      </c>
      <c r="I42" s="11">
        <v>66142.87</v>
      </c>
      <c r="J42" s="12">
        <f t="shared" si="5"/>
        <v>-38539.94</v>
      </c>
      <c r="K42" s="11">
        <f t="shared" si="6"/>
        <v>520.80999999999995</v>
      </c>
      <c r="L42" s="31">
        <f t="shared" si="7"/>
        <v>520.80999999999995</v>
      </c>
    </row>
    <row r="43" spans="1:12" ht="32.1" customHeight="1">
      <c r="A43" s="6" t="s">
        <v>16</v>
      </c>
      <c r="B43" s="7" t="s">
        <v>52</v>
      </c>
      <c r="C43" s="30">
        <v>22721</v>
      </c>
      <c r="D43" s="23" t="s">
        <v>50</v>
      </c>
      <c r="E43" s="8">
        <v>345</v>
      </c>
      <c r="F43" s="8">
        <v>297</v>
      </c>
      <c r="G43" s="9">
        <f t="shared" si="4"/>
        <v>-48</v>
      </c>
      <c r="H43" s="11">
        <v>148736.4</v>
      </c>
      <c r="I43" s="11">
        <v>128042.64</v>
      </c>
      <c r="J43" s="12">
        <f t="shared" si="5"/>
        <v>-20693.759999999995</v>
      </c>
      <c r="K43" s="11">
        <f t="shared" si="6"/>
        <v>431.12</v>
      </c>
      <c r="L43" s="31">
        <f t="shared" si="7"/>
        <v>431.12</v>
      </c>
    </row>
    <row r="44" spans="1:12" ht="32.1" customHeight="1">
      <c r="A44" s="6" t="s">
        <v>16</v>
      </c>
      <c r="B44" s="7" t="s">
        <v>52</v>
      </c>
      <c r="C44" s="30">
        <v>1984</v>
      </c>
      <c r="D44" s="23" t="s">
        <v>51</v>
      </c>
      <c r="E44" s="8">
        <v>303</v>
      </c>
      <c r="F44" s="8">
        <v>266</v>
      </c>
      <c r="G44" s="9">
        <f t="shared" si="4"/>
        <v>-37</v>
      </c>
      <c r="H44" s="11">
        <v>639275.46</v>
      </c>
      <c r="I44" s="11">
        <v>561212.12</v>
      </c>
      <c r="J44" s="12">
        <f t="shared" si="5"/>
        <v>-78063.339999999967</v>
      </c>
      <c r="K44" s="11">
        <f t="shared" si="6"/>
        <v>2109.8199999999997</v>
      </c>
      <c r="L44" s="31">
        <f t="shared" si="7"/>
        <v>2109.8200000000002</v>
      </c>
    </row>
    <row r="45" spans="1:12" ht="32.1" customHeight="1">
      <c r="A45" s="6" t="s">
        <v>16</v>
      </c>
      <c r="B45" s="7" t="s">
        <v>52</v>
      </c>
      <c r="C45" s="30">
        <v>1983</v>
      </c>
      <c r="D45" s="23" t="s">
        <v>63</v>
      </c>
      <c r="E45" s="8">
        <v>118</v>
      </c>
      <c r="F45" s="8">
        <v>102</v>
      </c>
      <c r="G45" s="9">
        <f t="shared" si="4"/>
        <v>-16</v>
      </c>
      <c r="H45" s="11">
        <v>406675.20000000001</v>
      </c>
      <c r="I45" s="11">
        <v>351532.79999999999</v>
      </c>
      <c r="J45" s="12">
        <f t="shared" si="5"/>
        <v>-55142.400000000023</v>
      </c>
      <c r="K45" s="11">
        <f t="shared" si="6"/>
        <v>3446.4</v>
      </c>
      <c r="L45" s="31">
        <f t="shared" si="7"/>
        <v>3446.4</v>
      </c>
    </row>
    <row r="46" spans="1:12" ht="32.1" customHeight="1">
      <c r="A46" s="6" t="s">
        <v>16</v>
      </c>
      <c r="B46" s="7" t="s">
        <v>52</v>
      </c>
      <c r="C46" s="30">
        <v>1444</v>
      </c>
      <c r="D46" s="23" t="s">
        <v>64</v>
      </c>
      <c r="E46" s="8">
        <v>14</v>
      </c>
      <c r="F46" s="8">
        <v>0</v>
      </c>
      <c r="G46" s="9">
        <f t="shared" si="4"/>
        <v>-14</v>
      </c>
      <c r="H46" s="11">
        <v>4049.08</v>
      </c>
      <c r="I46" s="11">
        <v>0</v>
      </c>
      <c r="J46" s="12">
        <f t="shared" si="5"/>
        <v>-4049.08</v>
      </c>
      <c r="K46" s="11">
        <f t="shared" si="6"/>
        <v>289.21999999999997</v>
      </c>
      <c r="L46" s="31" t="str">
        <f t="shared" si="7"/>
        <v/>
      </c>
    </row>
    <row r="47" spans="1:12" ht="32.1" customHeight="1">
      <c r="A47" s="6" t="s">
        <v>16</v>
      </c>
      <c r="B47" s="7" t="s">
        <v>52</v>
      </c>
      <c r="C47" s="30">
        <v>1443</v>
      </c>
      <c r="D47" s="23" t="s">
        <v>65</v>
      </c>
      <c r="E47" s="8">
        <v>12</v>
      </c>
      <c r="F47" s="8">
        <v>0</v>
      </c>
      <c r="G47" s="9">
        <f t="shared" si="4"/>
        <v>-12</v>
      </c>
      <c r="H47" s="11">
        <v>3470.64</v>
      </c>
      <c r="I47" s="11">
        <v>0</v>
      </c>
      <c r="J47" s="12">
        <f t="shared" si="5"/>
        <v>-3470.64</v>
      </c>
      <c r="K47" s="11">
        <f t="shared" si="6"/>
        <v>289.21999999999997</v>
      </c>
      <c r="L47" s="31" t="str">
        <f t="shared" si="7"/>
        <v/>
      </c>
    </row>
    <row r="48" spans="1:12" ht="32.1" customHeight="1">
      <c r="A48" s="6" t="s">
        <v>17</v>
      </c>
      <c r="B48" s="7" t="s">
        <v>47</v>
      </c>
      <c r="C48" s="30">
        <v>1442</v>
      </c>
      <c r="D48" s="23" t="s">
        <v>48</v>
      </c>
      <c r="E48" s="8">
        <v>43</v>
      </c>
      <c r="F48" s="8">
        <v>142</v>
      </c>
      <c r="G48" s="9">
        <f t="shared" si="4"/>
        <v>99</v>
      </c>
      <c r="H48" s="11">
        <v>18889.47</v>
      </c>
      <c r="I48" s="11">
        <v>62379.18</v>
      </c>
      <c r="J48" s="12">
        <f t="shared" si="5"/>
        <v>43489.71</v>
      </c>
      <c r="K48" s="11">
        <f t="shared" si="6"/>
        <v>439.29</v>
      </c>
      <c r="L48" s="31">
        <f t="shared" si="7"/>
        <v>439.29</v>
      </c>
    </row>
    <row r="49" spans="1:12" ht="32.1" customHeight="1">
      <c r="A49" s="6" t="s">
        <v>17</v>
      </c>
      <c r="B49" s="7" t="s">
        <v>47</v>
      </c>
      <c r="C49" s="30">
        <v>2004</v>
      </c>
      <c r="D49" s="23" t="s">
        <v>34</v>
      </c>
      <c r="E49" s="8">
        <v>88</v>
      </c>
      <c r="F49" s="8">
        <v>148</v>
      </c>
      <c r="G49" s="9">
        <f t="shared" si="4"/>
        <v>60</v>
      </c>
      <c r="H49" s="11">
        <v>5396.16</v>
      </c>
      <c r="I49" s="11">
        <v>9075.36</v>
      </c>
      <c r="J49" s="12">
        <f t="shared" si="5"/>
        <v>3679.2000000000007</v>
      </c>
      <c r="K49" s="11">
        <f t="shared" si="6"/>
        <v>61.32</v>
      </c>
      <c r="L49" s="31">
        <f t="shared" si="7"/>
        <v>61.320000000000007</v>
      </c>
    </row>
    <row r="50" spans="1:12" ht="32.1" customHeight="1">
      <c r="A50" s="6" t="s">
        <v>17</v>
      </c>
      <c r="B50" s="7" t="s">
        <v>47</v>
      </c>
      <c r="C50" s="30">
        <v>1984</v>
      </c>
      <c r="D50" s="23" t="s">
        <v>51</v>
      </c>
      <c r="E50" s="8">
        <v>27</v>
      </c>
      <c r="F50" s="8">
        <v>82</v>
      </c>
      <c r="G50" s="9">
        <f t="shared" si="4"/>
        <v>55</v>
      </c>
      <c r="H50" s="11">
        <v>56965.14</v>
      </c>
      <c r="I50" s="11">
        <v>173005.24</v>
      </c>
      <c r="J50" s="12">
        <f t="shared" si="5"/>
        <v>116040.09999999999</v>
      </c>
      <c r="K50" s="11">
        <f t="shared" si="6"/>
        <v>2109.8200000000002</v>
      </c>
      <c r="L50" s="31">
        <f t="shared" si="7"/>
        <v>2109.8199999999997</v>
      </c>
    </row>
    <row r="51" spans="1:12" ht="32.1" customHeight="1">
      <c r="A51" s="6" t="s">
        <v>17</v>
      </c>
      <c r="B51" s="7" t="s">
        <v>47</v>
      </c>
      <c r="C51" s="30">
        <v>2012</v>
      </c>
      <c r="D51" s="23" t="s">
        <v>49</v>
      </c>
      <c r="E51" s="8">
        <v>26</v>
      </c>
      <c r="F51" s="8">
        <v>68</v>
      </c>
      <c r="G51" s="9">
        <f t="shared" si="4"/>
        <v>42</v>
      </c>
      <c r="H51" s="11">
        <v>4694.82</v>
      </c>
      <c r="I51" s="11">
        <v>12278.76</v>
      </c>
      <c r="J51" s="12">
        <f t="shared" si="5"/>
        <v>7583.9400000000005</v>
      </c>
      <c r="K51" s="11">
        <f t="shared" si="6"/>
        <v>180.57</v>
      </c>
      <c r="L51" s="31">
        <f t="shared" si="7"/>
        <v>180.57</v>
      </c>
    </row>
    <row r="52" spans="1:12" ht="32.1" customHeight="1">
      <c r="A52" s="6" t="s">
        <v>17</v>
      </c>
      <c r="B52" s="7" t="s">
        <v>47</v>
      </c>
      <c r="C52" s="30">
        <v>22721</v>
      </c>
      <c r="D52" s="23" t="s">
        <v>50</v>
      </c>
      <c r="E52" s="8">
        <v>51</v>
      </c>
      <c r="F52" s="8">
        <v>84</v>
      </c>
      <c r="G52" s="9">
        <f t="shared" si="4"/>
        <v>33</v>
      </c>
      <c r="H52" s="11">
        <v>21987.119999999999</v>
      </c>
      <c r="I52" s="11">
        <v>36214.080000000002</v>
      </c>
      <c r="J52" s="12">
        <f t="shared" si="5"/>
        <v>14226.960000000003</v>
      </c>
      <c r="K52" s="11">
        <f t="shared" si="6"/>
        <v>431.12</v>
      </c>
      <c r="L52" s="31">
        <f t="shared" si="7"/>
        <v>431.12</v>
      </c>
    </row>
    <row r="53" spans="1:12" ht="32.1" customHeight="1">
      <c r="A53" s="6" t="s">
        <v>17</v>
      </c>
      <c r="B53" s="7" t="s">
        <v>47</v>
      </c>
      <c r="C53" s="30">
        <v>1441</v>
      </c>
      <c r="D53" s="23" t="s">
        <v>30</v>
      </c>
      <c r="E53" s="8">
        <v>32</v>
      </c>
      <c r="F53" s="8">
        <v>64</v>
      </c>
      <c r="G53" s="9">
        <f t="shared" si="4"/>
        <v>32</v>
      </c>
      <c r="H53" s="11">
        <v>15996.16</v>
      </c>
      <c r="I53" s="11">
        <v>31992.32</v>
      </c>
      <c r="J53" s="12">
        <f t="shared" si="5"/>
        <v>15996.16</v>
      </c>
      <c r="K53" s="11">
        <f t="shared" si="6"/>
        <v>499.88</v>
      </c>
      <c r="L53" s="31">
        <f t="shared" si="7"/>
        <v>499.88</v>
      </c>
    </row>
    <row r="54" spans="1:12" ht="32.1" customHeight="1">
      <c r="A54" s="6" t="s">
        <v>17</v>
      </c>
      <c r="B54" s="7" t="s">
        <v>47</v>
      </c>
      <c r="C54" s="30">
        <v>1981</v>
      </c>
      <c r="D54" s="23" t="s">
        <v>26</v>
      </c>
      <c r="E54" s="8">
        <v>53</v>
      </c>
      <c r="F54" s="8">
        <v>78</v>
      </c>
      <c r="G54" s="9">
        <f t="shared" si="4"/>
        <v>25</v>
      </c>
      <c r="H54" s="11">
        <v>47878.080000000002</v>
      </c>
      <c r="I54" s="11">
        <v>70462.080000000002</v>
      </c>
      <c r="J54" s="12">
        <f t="shared" si="5"/>
        <v>22584</v>
      </c>
      <c r="K54" s="11">
        <f t="shared" si="6"/>
        <v>903.36</v>
      </c>
      <c r="L54" s="31">
        <f t="shared" si="7"/>
        <v>903.36</v>
      </c>
    </row>
    <row r="55" spans="1:12" ht="32.1" customHeight="1">
      <c r="A55" s="6" t="s">
        <v>17</v>
      </c>
      <c r="B55" s="7" t="s">
        <v>52</v>
      </c>
      <c r="C55" s="30">
        <v>40021</v>
      </c>
      <c r="D55" s="23" t="s">
        <v>27</v>
      </c>
      <c r="E55" s="8">
        <v>27</v>
      </c>
      <c r="F55" s="8">
        <v>1</v>
      </c>
      <c r="G55" s="9">
        <f t="shared" si="4"/>
        <v>-26</v>
      </c>
      <c r="H55" s="11">
        <v>6825.6</v>
      </c>
      <c r="I55" s="11">
        <v>252.8</v>
      </c>
      <c r="J55" s="12">
        <f t="shared" si="5"/>
        <v>-6572.8</v>
      </c>
      <c r="K55" s="11">
        <f t="shared" si="6"/>
        <v>252.8</v>
      </c>
      <c r="L55" s="31">
        <f t="shared" si="7"/>
        <v>252.8</v>
      </c>
    </row>
    <row r="56" spans="1:12" ht="32.1" customHeight="1">
      <c r="A56" s="6" t="s">
        <v>17</v>
      </c>
      <c r="B56" s="7" t="s">
        <v>52</v>
      </c>
      <c r="C56" s="30">
        <v>40095</v>
      </c>
      <c r="D56" s="23" t="s">
        <v>33</v>
      </c>
      <c r="E56" s="8">
        <v>19</v>
      </c>
      <c r="F56" s="8">
        <v>0</v>
      </c>
      <c r="G56" s="9">
        <f t="shared" si="4"/>
        <v>-19</v>
      </c>
      <c r="H56" s="11">
        <v>13442.88</v>
      </c>
      <c r="I56" s="11">
        <v>0</v>
      </c>
      <c r="J56" s="12">
        <f t="shared" si="5"/>
        <v>-13442.88</v>
      </c>
      <c r="K56" s="11">
        <f t="shared" si="6"/>
        <v>707.52</v>
      </c>
      <c r="L56" s="31" t="str">
        <f t="shared" si="7"/>
        <v/>
      </c>
    </row>
    <row r="57" spans="1:12" ht="32.1" customHeight="1">
      <c r="A57" s="6" t="s">
        <v>17</v>
      </c>
      <c r="B57" s="7" t="s">
        <v>52</v>
      </c>
      <c r="C57" s="30">
        <v>40052</v>
      </c>
      <c r="D57" s="23" t="s">
        <v>31</v>
      </c>
      <c r="E57" s="8">
        <v>15</v>
      </c>
      <c r="F57" s="8">
        <v>1</v>
      </c>
      <c r="G57" s="9">
        <f t="shared" si="4"/>
        <v>-14</v>
      </c>
      <c r="H57" s="11">
        <v>2135.1</v>
      </c>
      <c r="I57" s="11">
        <v>142.34</v>
      </c>
      <c r="J57" s="12">
        <f t="shared" si="5"/>
        <v>-1992.76</v>
      </c>
      <c r="K57" s="11">
        <f t="shared" si="6"/>
        <v>142.34</v>
      </c>
      <c r="L57" s="31">
        <f t="shared" si="7"/>
        <v>142.34</v>
      </c>
    </row>
    <row r="58" spans="1:12" ht="32.1" customHeight="1">
      <c r="A58" s="6" t="s">
        <v>17</v>
      </c>
      <c r="B58" s="7" t="s">
        <v>52</v>
      </c>
      <c r="C58" s="30">
        <v>40054</v>
      </c>
      <c r="D58" s="23" t="s">
        <v>29</v>
      </c>
      <c r="E58" s="8">
        <v>11</v>
      </c>
      <c r="F58" s="8">
        <v>0</v>
      </c>
      <c r="G58" s="9">
        <f t="shared" si="4"/>
        <v>-11</v>
      </c>
      <c r="H58" s="11">
        <v>1476.75</v>
      </c>
      <c r="I58" s="11">
        <v>0</v>
      </c>
      <c r="J58" s="12">
        <f t="shared" si="5"/>
        <v>-1476.75</v>
      </c>
      <c r="K58" s="11">
        <f t="shared" si="6"/>
        <v>134.25</v>
      </c>
      <c r="L58" s="31" t="str">
        <f t="shared" si="7"/>
        <v/>
      </c>
    </row>
    <row r="59" spans="1:12" ht="32.1" customHeight="1">
      <c r="A59" s="6" t="s">
        <v>17</v>
      </c>
      <c r="B59" s="7" t="s">
        <v>52</v>
      </c>
      <c r="C59" s="30">
        <v>40092</v>
      </c>
      <c r="D59" s="23" t="s">
        <v>66</v>
      </c>
      <c r="E59" s="8">
        <v>11</v>
      </c>
      <c r="F59" s="8">
        <v>0</v>
      </c>
      <c r="G59" s="9">
        <f t="shared" si="4"/>
        <v>-11</v>
      </c>
      <c r="H59" s="11">
        <v>5296.61</v>
      </c>
      <c r="I59" s="11">
        <v>0</v>
      </c>
      <c r="J59" s="12">
        <f t="shared" si="5"/>
        <v>-5296.61</v>
      </c>
      <c r="K59" s="11">
        <f t="shared" si="6"/>
        <v>481.51</v>
      </c>
      <c r="L59" s="31" t="str">
        <f t="shared" si="7"/>
        <v/>
      </c>
    </row>
    <row r="60" spans="1:12" ht="32.1" customHeight="1">
      <c r="A60" s="6" t="s">
        <v>17</v>
      </c>
      <c r="B60" s="7" t="s">
        <v>52</v>
      </c>
      <c r="C60" s="30">
        <v>40023</v>
      </c>
      <c r="D60" s="23" t="s">
        <v>67</v>
      </c>
      <c r="E60" s="8">
        <v>4</v>
      </c>
      <c r="F60" s="8">
        <v>0</v>
      </c>
      <c r="G60" s="9">
        <f t="shared" si="4"/>
        <v>-4</v>
      </c>
      <c r="H60" s="11">
        <v>1244.3599999999999</v>
      </c>
      <c r="I60" s="11">
        <v>0</v>
      </c>
      <c r="J60" s="12">
        <f t="shared" si="5"/>
        <v>-1244.3599999999999</v>
      </c>
      <c r="K60" s="11">
        <f t="shared" si="6"/>
        <v>311.08999999999997</v>
      </c>
      <c r="L60" s="31" t="str">
        <f t="shared" si="7"/>
        <v/>
      </c>
    </row>
    <row r="61" spans="1:12" ht="32.1" customHeight="1">
      <c r="A61" s="14" t="s">
        <v>17</v>
      </c>
      <c r="B61" s="15" t="s">
        <v>52</v>
      </c>
      <c r="C61" s="32">
        <v>40115</v>
      </c>
      <c r="D61" s="27" t="s">
        <v>68</v>
      </c>
      <c r="E61" s="16">
        <v>3</v>
      </c>
      <c r="F61" s="16">
        <v>0</v>
      </c>
      <c r="G61" s="17">
        <f t="shared" si="4"/>
        <v>-3</v>
      </c>
      <c r="H61" s="19">
        <v>1855.08</v>
      </c>
      <c r="I61" s="19">
        <v>0</v>
      </c>
      <c r="J61" s="20">
        <f t="shared" si="5"/>
        <v>-1855.08</v>
      </c>
      <c r="K61" s="19">
        <f t="shared" si="6"/>
        <v>618.36</v>
      </c>
      <c r="L61" s="33" t="str">
        <f t="shared" si="7"/>
        <v/>
      </c>
    </row>
  </sheetData>
  <mergeCells count="2">
    <mergeCell ref="A1:L1"/>
    <mergeCell ref="A2:L2"/>
  </mergeCells>
  <conditionalFormatting sqref="B6:B61">
    <cfRule type="containsText" dxfId="25" priority="9" operator="containsText" text="Рост"/>
    <cfRule type="containsText" dxfId="24" priority="10" operator="containsText" text="Снижение"/>
  </conditionalFormatting>
  <conditionalFormatting sqref="G6:G61">
    <cfRule type="cellIs" dxfId="23" priority="1" operator="greaterThan">
      <formula>0</formula>
    </cfRule>
    <cfRule type="cellIs" dxfId="22" priority="2" operator="lessThan">
      <formula>0</formula>
    </cfRule>
  </conditionalFormatting>
  <conditionalFormatting sqref="J6:J61">
    <cfRule type="cellIs" dxfId="21" priority="3" operator="greaterThan">
      <formula>0</formula>
    </cfRule>
    <cfRule type="cellIs" dxfId="20" priority="4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N178"/>
  <sheetViews>
    <sheetView showGridLines="0" tabSelected="1" workbookViewId="0">
      <pane xSplit="4" ySplit="5" topLeftCell="J165" activePane="bottomRight" state="frozen"/>
      <selection activeCell="E3" sqref="E3"/>
      <selection pane="topRight" activeCell="E3" sqref="E3"/>
      <selection pane="bottomLeft" activeCell="E3" sqref="E3"/>
      <selection pane="bottomRight" activeCell="E3" sqref="E3"/>
    </sheetView>
  </sheetViews>
  <sheetFormatPr defaultRowHeight="14.25"/>
  <cols>
    <col min="1" max="1" width="26" customWidth="1"/>
    <col min="2" max="2" width="36" customWidth="1"/>
    <col min="3" max="3" width="10" customWidth="1"/>
    <col min="4" max="4" width="68" customWidth="1"/>
    <col min="5" max="6" width="13" customWidth="1"/>
    <col min="7" max="8" width="12" customWidth="1"/>
    <col min="9" max="11" width="16" customWidth="1"/>
    <col min="12" max="13" width="17" customWidth="1"/>
    <col min="14" max="14" width="16" customWidth="1"/>
  </cols>
  <sheetData>
    <row r="1" spans="1:14" ht="30" customHeight="1">
      <c r="A1" s="65" t="s">
        <v>77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ht="24.95" customHeight="1">
      <c r="A2" s="66" t="s">
        <v>78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8.25">
      <c r="A5" s="3" t="s">
        <v>1</v>
      </c>
      <c r="B5" s="4" t="s">
        <v>69</v>
      </c>
      <c r="C5" s="4" t="s">
        <v>21</v>
      </c>
      <c r="D5" s="4" t="s">
        <v>22</v>
      </c>
      <c r="E5" s="4" t="s">
        <v>38</v>
      </c>
      <c r="F5" s="4" t="s">
        <v>39</v>
      </c>
      <c r="G5" s="4" t="s">
        <v>4</v>
      </c>
      <c r="H5" s="4" t="s">
        <v>5</v>
      </c>
      <c r="I5" s="4" t="s">
        <v>6</v>
      </c>
      <c r="J5" s="4" t="s">
        <v>7</v>
      </c>
      <c r="K5" s="4" t="s">
        <v>8</v>
      </c>
      <c r="L5" s="4" t="s">
        <v>9</v>
      </c>
      <c r="M5" s="4" t="s">
        <v>10</v>
      </c>
      <c r="N5" s="5" t="s">
        <v>11</v>
      </c>
    </row>
    <row r="6" spans="1:14" ht="32.1" customHeight="1">
      <c r="A6" s="22" t="s">
        <v>14</v>
      </c>
      <c r="B6" s="23" t="s">
        <v>73</v>
      </c>
      <c r="C6" s="24">
        <v>1442</v>
      </c>
      <c r="D6" s="23" t="s">
        <v>48</v>
      </c>
      <c r="E6" s="8">
        <v>1226</v>
      </c>
      <c r="F6" s="8">
        <v>1666</v>
      </c>
      <c r="G6" s="9">
        <f t="shared" ref="G6:G37" si="0">F6-E6</f>
        <v>440</v>
      </c>
      <c r="H6" s="10">
        <f t="shared" ref="H6:H37" si="1">IF(E6=0,"",G6/E6)</f>
        <v>0.35889070146818924</v>
      </c>
      <c r="I6" s="11">
        <v>538569.54</v>
      </c>
      <c r="J6" s="11">
        <v>731857.14</v>
      </c>
      <c r="K6" s="12">
        <f t="shared" ref="K6:K37" si="2">J6-I6</f>
        <v>193287.59999999998</v>
      </c>
      <c r="L6" s="11">
        <f t="shared" ref="L6:L37" si="3">IF(E6=0,"",I6/E6)</f>
        <v>439.29</v>
      </c>
      <c r="M6" s="11">
        <f t="shared" ref="M6:M37" si="4">IF(F6=0,"",J6/F6)</f>
        <v>439.29</v>
      </c>
      <c r="N6" s="25">
        <f t="shared" ref="N6:N37" si="5">IF(OR(L6="",M6=""),"",M6-L6)</f>
        <v>0</v>
      </c>
    </row>
    <row r="7" spans="1:14" ht="32.1" customHeight="1">
      <c r="A7" s="22" t="s">
        <v>14</v>
      </c>
      <c r="B7" s="23" t="s">
        <v>72</v>
      </c>
      <c r="C7" s="24">
        <v>2012</v>
      </c>
      <c r="D7" s="23" t="s">
        <v>49</v>
      </c>
      <c r="E7" s="8">
        <v>508</v>
      </c>
      <c r="F7" s="8">
        <v>835</v>
      </c>
      <c r="G7" s="9">
        <f t="shared" si="0"/>
        <v>327</v>
      </c>
      <c r="H7" s="10">
        <f t="shared" si="1"/>
        <v>0.64370078740157477</v>
      </c>
      <c r="I7" s="11">
        <v>91729.56</v>
      </c>
      <c r="J7" s="11">
        <v>150775.95000000001</v>
      </c>
      <c r="K7" s="12">
        <f t="shared" si="2"/>
        <v>59046.390000000014</v>
      </c>
      <c r="L7" s="11">
        <f t="shared" si="3"/>
        <v>180.57</v>
      </c>
      <c r="M7" s="11">
        <f t="shared" si="4"/>
        <v>180.57000000000002</v>
      </c>
      <c r="N7" s="25">
        <f t="shared" si="5"/>
        <v>2.8421709430404007E-14</v>
      </c>
    </row>
    <row r="8" spans="1:14" ht="32.1" customHeight="1">
      <c r="A8" s="22" t="s">
        <v>14</v>
      </c>
      <c r="B8" s="23" t="s">
        <v>71</v>
      </c>
      <c r="C8" s="24">
        <v>8003</v>
      </c>
      <c r="D8" s="23" t="s">
        <v>25</v>
      </c>
      <c r="E8" s="8">
        <v>106</v>
      </c>
      <c r="F8" s="8">
        <v>413</v>
      </c>
      <c r="G8" s="9">
        <f t="shared" si="0"/>
        <v>307</v>
      </c>
      <c r="H8" s="10">
        <f t="shared" si="1"/>
        <v>2.8962264150943398</v>
      </c>
      <c r="I8" s="11">
        <v>57450.94</v>
      </c>
      <c r="J8" s="11">
        <v>223841.87</v>
      </c>
      <c r="K8" s="12">
        <f t="shared" si="2"/>
        <v>166390.93</v>
      </c>
      <c r="L8" s="11">
        <f t="shared" si="3"/>
        <v>541.99</v>
      </c>
      <c r="M8" s="11">
        <f t="shared" si="4"/>
        <v>541.99</v>
      </c>
      <c r="N8" s="25">
        <f t="shared" si="5"/>
        <v>0</v>
      </c>
    </row>
    <row r="9" spans="1:14" ht="32.1" customHeight="1">
      <c r="A9" s="22" t="s">
        <v>14</v>
      </c>
      <c r="B9" s="23" t="s">
        <v>73</v>
      </c>
      <c r="C9" s="24">
        <v>1441</v>
      </c>
      <c r="D9" s="23" t="s">
        <v>30</v>
      </c>
      <c r="E9" s="8">
        <v>330</v>
      </c>
      <c r="F9" s="8">
        <v>547</v>
      </c>
      <c r="G9" s="9">
        <f t="shared" si="0"/>
        <v>217</v>
      </c>
      <c r="H9" s="10">
        <f t="shared" si="1"/>
        <v>0.65757575757575759</v>
      </c>
      <c r="I9" s="11">
        <v>164960.4</v>
      </c>
      <c r="J9" s="11">
        <v>273434.36</v>
      </c>
      <c r="K9" s="12">
        <f t="shared" si="2"/>
        <v>108473.95999999999</v>
      </c>
      <c r="L9" s="11">
        <f t="shared" si="3"/>
        <v>499.88</v>
      </c>
      <c r="M9" s="11">
        <f t="shared" si="4"/>
        <v>499.88</v>
      </c>
      <c r="N9" s="25">
        <f t="shared" si="5"/>
        <v>0</v>
      </c>
    </row>
    <row r="10" spans="1:14" ht="32.1" customHeight="1">
      <c r="A10" s="22" t="s">
        <v>14</v>
      </c>
      <c r="B10" s="23" t="s">
        <v>70</v>
      </c>
      <c r="C10" s="24">
        <v>22721</v>
      </c>
      <c r="D10" s="23" t="s">
        <v>50</v>
      </c>
      <c r="E10" s="8">
        <v>426</v>
      </c>
      <c r="F10" s="8">
        <v>588</v>
      </c>
      <c r="G10" s="9">
        <f t="shared" si="0"/>
        <v>162</v>
      </c>
      <c r="H10" s="10">
        <f t="shared" si="1"/>
        <v>0.38028169014084506</v>
      </c>
      <c r="I10" s="11">
        <v>183657.12</v>
      </c>
      <c r="J10" s="11">
        <v>253498.56</v>
      </c>
      <c r="K10" s="12">
        <f t="shared" si="2"/>
        <v>69841.440000000002</v>
      </c>
      <c r="L10" s="11">
        <f t="shared" si="3"/>
        <v>431.12</v>
      </c>
      <c r="M10" s="11">
        <f t="shared" si="4"/>
        <v>431.12</v>
      </c>
      <c r="N10" s="25">
        <f t="shared" si="5"/>
        <v>0</v>
      </c>
    </row>
    <row r="11" spans="1:14" ht="32.1" customHeight="1">
      <c r="A11" s="22" t="s">
        <v>14</v>
      </c>
      <c r="B11" s="23" t="s">
        <v>74</v>
      </c>
      <c r="C11" s="24">
        <v>1984</v>
      </c>
      <c r="D11" s="23" t="s">
        <v>51</v>
      </c>
      <c r="E11" s="8">
        <v>326</v>
      </c>
      <c r="F11" s="8">
        <v>463</v>
      </c>
      <c r="G11" s="9">
        <f t="shared" si="0"/>
        <v>137</v>
      </c>
      <c r="H11" s="10">
        <f t="shared" si="1"/>
        <v>0.42024539877300615</v>
      </c>
      <c r="I11" s="11">
        <v>687801.32</v>
      </c>
      <c r="J11" s="11">
        <v>976846.66</v>
      </c>
      <c r="K11" s="12">
        <f t="shared" si="2"/>
        <v>289045.34000000008</v>
      </c>
      <c r="L11" s="11">
        <f t="shared" si="3"/>
        <v>2109.8199999999997</v>
      </c>
      <c r="M11" s="11">
        <f t="shared" si="4"/>
        <v>2109.8200000000002</v>
      </c>
      <c r="N11" s="25">
        <f t="shared" si="5"/>
        <v>4.5474735088646412E-13</v>
      </c>
    </row>
    <row r="12" spans="1:14" ht="32.1" customHeight="1">
      <c r="A12" s="22" t="s">
        <v>14</v>
      </c>
      <c r="B12" s="23" t="s">
        <v>72</v>
      </c>
      <c r="C12" s="24">
        <v>2004</v>
      </c>
      <c r="D12" s="23" t="s">
        <v>34</v>
      </c>
      <c r="E12" s="8">
        <v>1141</v>
      </c>
      <c r="F12" s="8">
        <v>1275</v>
      </c>
      <c r="G12" s="9">
        <f t="shared" si="0"/>
        <v>134</v>
      </c>
      <c r="H12" s="10">
        <f t="shared" si="1"/>
        <v>0.11744084136722173</v>
      </c>
      <c r="I12" s="11">
        <v>69966.12</v>
      </c>
      <c r="J12" s="11">
        <v>78428.28</v>
      </c>
      <c r="K12" s="12">
        <f t="shared" si="2"/>
        <v>8462.1600000000035</v>
      </c>
      <c r="L12" s="11">
        <f t="shared" si="3"/>
        <v>61.319999999999993</v>
      </c>
      <c r="M12" s="11">
        <f t="shared" si="4"/>
        <v>61.512376470588237</v>
      </c>
      <c r="N12" s="25">
        <f t="shared" si="5"/>
        <v>0.19237647058824336</v>
      </c>
    </row>
    <row r="13" spans="1:14" ht="32.1" customHeight="1">
      <c r="A13" s="22" t="s">
        <v>14</v>
      </c>
      <c r="B13" s="23" t="s">
        <v>72</v>
      </c>
      <c r="C13" s="24">
        <v>2013</v>
      </c>
      <c r="D13" s="23" t="s">
        <v>61</v>
      </c>
      <c r="E13" s="8">
        <v>226</v>
      </c>
      <c r="F13" s="8">
        <v>356</v>
      </c>
      <c r="G13" s="9">
        <f t="shared" si="0"/>
        <v>130</v>
      </c>
      <c r="H13" s="10">
        <f t="shared" si="1"/>
        <v>0.5752212389380531</v>
      </c>
      <c r="I13" s="11">
        <v>40808.82</v>
      </c>
      <c r="J13" s="11">
        <v>64282.92</v>
      </c>
      <c r="K13" s="12">
        <f t="shared" si="2"/>
        <v>23474.1</v>
      </c>
      <c r="L13" s="11">
        <f t="shared" si="3"/>
        <v>180.57</v>
      </c>
      <c r="M13" s="11">
        <f t="shared" si="4"/>
        <v>180.57</v>
      </c>
      <c r="N13" s="25">
        <f t="shared" si="5"/>
        <v>0</v>
      </c>
    </row>
    <row r="14" spans="1:14" ht="32.1" customHeight="1">
      <c r="A14" s="22" t="s">
        <v>14</v>
      </c>
      <c r="B14" s="23" t="s">
        <v>73</v>
      </c>
      <c r="C14" s="24">
        <v>1571</v>
      </c>
      <c r="D14" s="23" t="s">
        <v>35</v>
      </c>
      <c r="E14" s="8">
        <v>198</v>
      </c>
      <c r="F14" s="8">
        <v>281</v>
      </c>
      <c r="G14" s="9">
        <f t="shared" si="0"/>
        <v>83</v>
      </c>
      <c r="H14" s="10">
        <f t="shared" si="1"/>
        <v>0.41919191919191917</v>
      </c>
      <c r="I14" s="11">
        <v>22726.44</v>
      </c>
      <c r="J14" s="11">
        <v>32253.18</v>
      </c>
      <c r="K14" s="12">
        <f t="shared" si="2"/>
        <v>9526.7400000000016</v>
      </c>
      <c r="L14" s="11">
        <f t="shared" si="3"/>
        <v>114.77999999999999</v>
      </c>
      <c r="M14" s="11">
        <f t="shared" si="4"/>
        <v>114.78</v>
      </c>
      <c r="N14" s="25">
        <f t="shared" si="5"/>
        <v>1.4210854715202004E-14</v>
      </c>
    </row>
    <row r="15" spans="1:14" ht="32.1" customHeight="1">
      <c r="A15" s="22" t="s">
        <v>14</v>
      </c>
      <c r="B15" s="23" t="s">
        <v>75</v>
      </c>
      <c r="C15" s="24">
        <v>35401</v>
      </c>
      <c r="D15" s="23" t="s">
        <v>79</v>
      </c>
      <c r="E15" s="8">
        <v>129</v>
      </c>
      <c r="F15" s="8">
        <v>189</v>
      </c>
      <c r="G15" s="9">
        <f t="shared" si="0"/>
        <v>60</v>
      </c>
      <c r="H15" s="10">
        <f t="shared" si="1"/>
        <v>0.46511627906976744</v>
      </c>
      <c r="I15" s="11">
        <v>39730.71</v>
      </c>
      <c r="J15" s="11">
        <v>58210.11</v>
      </c>
      <c r="K15" s="12">
        <f t="shared" si="2"/>
        <v>18479.400000000001</v>
      </c>
      <c r="L15" s="11">
        <f t="shared" si="3"/>
        <v>307.99</v>
      </c>
      <c r="M15" s="11">
        <f t="shared" si="4"/>
        <v>307.99</v>
      </c>
      <c r="N15" s="25">
        <f t="shared" si="5"/>
        <v>0</v>
      </c>
    </row>
    <row r="16" spans="1:14" ht="32.1" customHeight="1">
      <c r="A16" s="22" t="s">
        <v>14</v>
      </c>
      <c r="B16" s="23" t="s">
        <v>70</v>
      </c>
      <c r="C16" s="24">
        <v>1981</v>
      </c>
      <c r="D16" s="23" t="s">
        <v>26</v>
      </c>
      <c r="E16" s="8">
        <v>603</v>
      </c>
      <c r="F16" s="8">
        <v>661</v>
      </c>
      <c r="G16" s="9">
        <f t="shared" si="0"/>
        <v>58</v>
      </c>
      <c r="H16" s="10">
        <f t="shared" si="1"/>
        <v>9.6185737976782759E-2</v>
      </c>
      <c r="I16" s="11">
        <v>544726.07999999996</v>
      </c>
      <c r="J16" s="11">
        <v>597120.96</v>
      </c>
      <c r="K16" s="12">
        <f t="shared" si="2"/>
        <v>52394.880000000005</v>
      </c>
      <c r="L16" s="11">
        <f t="shared" si="3"/>
        <v>903.3599999999999</v>
      </c>
      <c r="M16" s="11">
        <f t="shared" si="4"/>
        <v>903.3599999999999</v>
      </c>
      <c r="N16" s="25">
        <f t="shared" si="5"/>
        <v>0</v>
      </c>
    </row>
    <row r="17" spans="1:14" ht="32.1" customHeight="1">
      <c r="A17" s="22" t="s">
        <v>14</v>
      </c>
      <c r="B17" s="23" t="s">
        <v>75</v>
      </c>
      <c r="C17" s="24">
        <v>22100</v>
      </c>
      <c r="D17" s="23" t="s">
        <v>80</v>
      </c>
      <c r="E17" s="8">
        <v>145</v>
      </c>
      <c r="F17" s="8">
        <v>202</v>
      </c>
      <c r="G17" s="9">
        <f t="shared" si="0"/>
        <v>57</v>
      </c>
      <c r="H17" s="10">
        <f t="shared" si="1"/>
        <v>0.39310344827586208</v>
      </c>
      <c r="I17" s="11">
        <v>17378.25</v>
      </c>
      <c r="J17" s="11">
        <v>24209.7</v>
      </c>
      <c r="K17" s="12">
        <f t="shared" si="2"/>
        <v>6831.4500000000007</v>
      </c>
      <c r="L17" s="11">
        <f t="shared" si="3"/>
        <v>119.85</v>
      </c>
      <c r="M17" s="11">
        <f t="shared" si="4"/>
        <v>119.85000000000001</v>
      </c>
      <c r="N17" s="25">
        <f t="shared" si="5"/>
        <v>1.4210854715202004E-14</v>
      </c>
    </row>
    <row r="18" spans="1:14" ht="32.1" customHeight="1">
      <c r="A18" s="22" t="s">
        <v>14</v>
      </c>
      <c r="B18" s="23" t="s">
        <v>72</v>
      </c>
      <c r="C18" s="24">
        <v>2014</v>
      </c>
      <c r="D18" s="23" t="s">
        <v>81</v>
      </c>
      <c r="E18" s="8">
        <v>188</v>
      </c>
      <c r="F18" s="8">
        <v>242</v>
      </c>
      <c r="G18" s="9">
        <f t="shared" si="0"/>
        <v>54</v>
      </c>
      <c r="H18" s="10">
        <f t="shared" si="1"/>
        <v>0.28723404255319152</v>
      </c>
      <c r="I18" s="11">
        <v>7191</v>
      </c>
      <c r="J18" s="11">
        <v>9256.5</v>
      </c>
      <c r="K18" s="12">
        <f t="shared" si="2"/>
        <v>2065.5</v>
      </c>
      <c r="L18" s="11">
        <f t="shared" si="3"/>
        <v>38.25</v>
      </c>
      <c r="M18" s="11">
        <f t="shared" si="4"/>
        <v>38.25</v>
      </c>
      <c r="N18" s="25">
        <f t="shared" si="5"/>
        <v>0</v>
      </c>
    </row>
    <row r="19" spans="1:14" ht="32.1" customHeight="1">
      <c r="A19" s="22" t="s">
        <v>14</v>
      </c>
      <c r="B19" s="23" t="s">
        <v>75</v>
      </c>
      <c r="C19" s="24">
        <v>40021</v>
      </c>
      <c r="D19" s="23" t="s">
        <v>27</v>
      </c>
      <c r="E19" s="8">
        <v>571</v>
      </c>
      <c r="F19" s="8">
        <v>625</v>
      </c>
      <c r="G19" s="9">
        <f t="shared" si="0"/>
        <v>54</v>
      </c>
      <c r="H19" s="10">
        <f t="shared" si="1"/>
        <v>9.4570928196147111E-2</v>
      </c>
      <c r="I19" s="11">
        <v>144348.79999999999</v>
      </c>
      <c r="J19" s="11">
        <v>158000</v>
      </c>
      <c r="K19" s="12">
        <f t="shared" si="2"/>
        <v>13651.200000000012</v>
      </c>
      <c r="L19" s="11">
        <f t="shared" si="3"/>
        <v>252.79999999999998</v>
      </c>
      <c r="M19" s="11">
        <f t="shared" si="4"/>
        <v>252.8</v>
      </c>
      <c r="N19" s="25">
        <f t="shared" si="5"/>
        <v>2.8421709430404007E-14</v>
      </c>
    </row>
    <row r="20" spans="1:14" ht="32.1" customHeight="1">
      <c r="A20" s="22" t="s">
        <v>14</v>
      </c>
      <c r="B20" s="23" t="s">
        <v>73</v>
      </c>
      <c r="C20" s="24">
        <v>1701</v>
      </c>
      <c r="D20" s="23" t="s">
        <v>82</v>
      </c>
      <c r="E20" s="8">
        <v>57</v>
      </c>
      <c r="F20" s="8">
        <v>104</v>
      </c>
      <c r="G20" s="9">
        <f t="shared" si="0"/>
        <v>47</v>
      </c>
      <c r="H20" s="10">
        <f t="shared" si="1"/>
        <v>0.82456140350877194</v>
      </c>
      <c r="I20" s="11">
        <v>14006.04</v>
      </c>
      <c r="J20" s="11">
        <v>25554.880000000001</v>
      </c>
      <c r="K20" s="12">
        <f t="shared" si="2"/>
        <v>11548.84</v>
      </c>
      <c r="L20" s="11">
        <f t="shared" si="3"/>
        <v>245.72000000000003</v>
      </c>
      <c r="M20" s="11">
        <f t="shared" si="4"/>
        <v>245.72</v>
      </c>
      <c r="N20" s="25">
        <f t="shared" si="5"/>
        <v>-2.8421709430404007E-14</v>
      </c>
    </row>
    <row r="21" spans="1:14" ht="32.1" customHeight="1">
      <c r="A21" s="22" t="s">
        <v>14</v>
      </c>
      <c r="B21" s="23" t="s">
        <v>74</v>
      </c>
      <c r="C21" s="24">
        <v>1983</v>
      </c>
      <c r="D21" s="23" t="s">
        <v>63</v>
      </c>
      <c r="E21" s="8">
        <v>128</v>
      </c>
      <c r="F21" s="8">
        <v>166</v>
      </c>
      <c r="G21" s="9">
        <f t="shared" si="0"/>
        <v>38</v>
      </c>
      <c r="H21" s="10">
        <f t="shared" si="1"/>
        <v>0.296875</v>
      </c>
      <c r="I21" s="11">
        <v>441139.20000000001</v>
      </c>
      <c r="J21" s="11">
        <v>572102.40000000002</v>
      </c>
      <c r="K21" s="12">
        <f t="shared" si="2"/>
        <v>130963.20000000001</v>
      </c>
      <c r="L21" s="11">
        <f t="shared" si="3"/>
        <v>3446.4</v>
      </c>
      <c r="M21" s="11">
        <f t="shared" si="4"/>
        <v>3446.4</v>
      </c>
      <c r="N21" s="25">
        <f t="shared" si="5"/>
        <v>0</v>
      </c>
    </row>
    <row r="22" spans="1:14" ht="32.1" customHeight="1">
      <c r="A22" s="22" t="s">
        <v>14</v>
      </c>
      <c r="B22" s="23" t="s">
        <v>75</v>
      </c>
      <c r="C22" s="24">
        <v>22511</v>
      </c>
      <c r="D22" s="23" t="s">
        <v>83</v>
      </c>
      <c r="E22" s="8">
        <v>0</v>
      </c>
      <c r="F22" s="8">
        <v>34</v>
      </c>
      <c r="G22" s="9">
        <f t="shared" si="0"/>
        <v>34</v>
      </c>
      <c r="H22" s="10" t="str">
        <f t="shared" si="1"/>
        <v/>
      </c>
      <c r="I22" s="11">
        <v>0</v>
      </c>
      <c r="J22" s="11">
        <v>16969.400000000001</v>
      </c>
      <c r="K22" s="12">
        <f t="shared" si="2"/>
        <v>16969.400000000001</v>
      </c>
      <c r="L22" s="11" t="str">
        <f t="shared" si="3"/>
        <v/>
      </c>
      <c r="M22" s="11">
        <f t="shared" si="4"/>
        <v>499.1</v>
      </c>
      <c r="N22" s="25" t="str">
        <f t="shared" si="5"/>
        <v/>
      </c>
    </row>
    <row r="23" spans="1:14" ht="32.1" customHeight="1">
      <c r="A23" s="22" t="s">
        <v>14</v>
      </c>
      <c r="B23" s="23" t="s">
        <v>70</v>
      </c>
      <c r="C23" s="24">
        <v>40040</v>
      </c>
      <c r="D23" s="23" t="s">
        <v>84</v>
      </c>
      <c r="E23" s="8">
        <v>109</v>
      </c>
      <c r="F23" s="8">
        <v>137</v>
      </c>
      <c r="G23" s="9">
        <f t="shared" si="0"/>
        <v>28</v>
      </c>
      <c r="H23" s="10">
        <f t="shared" si="1"/>
        <v>0.25688073394495414</v>
      </c>
      <c r="I23" s="11">
        <v>251504.42</v>
      </c>
      <c r="J23" s="11">
        <v>316111.06</v>
      </c>
      <c r="K23" s="12">
        <f t="shared" si="2"/>
        <v>64606.639999999985</v>
      </c>
      <c r="L23" s="11">
        <f t="shared" si="3"/>
        <v>2307.38</v>
      </c>
      <c r="M23" s="11">
        <f t="shared" si="4"/>
        <v>2307.38</v>
      </c>
      <c r="N23" s="25">
        <f t="shared" si="5"/>
        <v>0</v>
      </c>
    </row>
    <row r="24" spans="1:14" ht="32.1" customHeight="1">
      <c r="A24" s="22" t="s">
        <v>14</v>
      </c>
      <c r="B24" s="23" t="s">
        <v>71</v>
      </c>
      <c r="C24" s="24">
        <v>8044</v>
      </c>
      <c r="D24" s="23" t="s">
        <v>85</v>
      </c>
      <c r="E24" s="8">
        <v>27</v>
      </c>
      <c r="F24" s="8">
        <v>51</v>
      </c>
      <c r="G24" s="9">
        <f t="shared" si="0"/>
        <v>24</v>
      </c>
      <c r="H24" s="10">
        <f t="shared" si="1"/>
        <v>0.88888888888888884</v>
      </c>
      <c r="I24" s="11">
        <v>69844.95</v>
      </c>
      <c r="J24" s="11">
        <v>131929.35</v>
      </c>
      <c r="K24" s="12">
        <f t="shared" si="2"/>
        <v>62084.400000000009</v>
      </c>
      <c r="L24" s="11">
        <f t="shared" si="3"/>
        <v>2586.85</v>
      </c>
      <c r="M24" s="11">
        <f t="shared" si="4"/>
        <v>2586.85</v>
      </c>
      <c r="N24" s="25">
        <f t="shared" si="5"/>
        <v>0</v>
      </c>
    </row>
    <row r="25" spans="1:14" ht="32.1" customHeight="1">
      <c r="A25" s="22" t="s">
        <v>14</v>
      </c>
      <c r="B25" s="23" t="s">
        <v>70</v>
      </c>
      <c r="C25" s="24">
        <v>40092</v>
      </c>
      <c r="D25" s="23" t="s">
        <v>66</v>
      </c>
      <c r="E25" s="8">
        <v>99</v>
      </c>
      <c r="F25" s="8">
        <v>119</v>
      </c>
      <c r="G25" s="9">
        <f t="shared" si="0"/>
        <v>20</v>
      </c>
      <c r="H25" s="10">
        <f t="shared" si="1"/>
        <v>0.20202020202020202</v>
      </c>
      <c r="I25" s="11">
        <v>47669.49</v>
      </c>
      <c r="J25" s="11">
        <v>57299.69</v>
      </c>
      <c r="K25" s="12">
        <f t="shared" si="2"/>
        <v>9630.2000000000044</v>
      </c>
      <c r="L25" s="11">
        <f t="shared" si="3"/>
        <v>481.51</v>
      </c>
      <c r="M25" s="11">
        <f t="shared" si="4"/>
        <v>481.51000000000005</v>
      </c>
      <c r="N25" s="25">
        <f t="shared" si="5"/>
        <v>5.6843418860808015E-14</v>
      </c>
    </row>
    <row r="26" spans="1:14" ht="32.1" customHeight="1">
      <c r="A26" s="22" t="s">
        <v>14</v>
      </c>
      <c r="B26" s="23" t="s">
        <v>75</v>
      </c>
      <c r="C26" s="24">
        <v>40091</v>
      </c>
      <c r="D26" s="23" t="s">
        <v>58</v>
      </c>
      <c r="E26" s="8">
        <v>20</v>
      </c>
      <c r="F26" s="8">
        <v>36</v>
      </c>
      <c r="G26" s="9">
        <f t="shared" si="0"/>
        <v>16</v>
      </c>
      <c r="H26" s="10">
        <f t="shared" si="1"/>
        <v>0.8</v>
      </c>
      <c r="I26" s="11">
        <v>2136.1999999999998</v>
      </c>
      <c r="J26" s="11">
        <v>3845.16</v>
      </c>
      <c r="K26" s="12">
        <f t="shared" si="2"/>
        <v>1708.96</v>
      </c>
      <c r="L26" s="11">
        <f t="shared" si="3"/>
        <v>106.80999999999999</v>
      </c>
      <c r="M26" s="11">
        <f t="shared" si="4"/>
        <v>106.81</v>
      </c>
      <c r="N26" s="25">
        <f t="shared" si="5"/>
        <v>1.4210854715202004E-14</v>
      </c>
    </row>
    <row r="27" spans="1:14" ht="32.1" customHeight="1">
      <c r="A27" s="22" t="s">
        <v>14</v>
      </c>
      <c r="B27" s="23" t="s">
        <v>70</v>
      </c>
      <c r="C27" s="24">
        <v>40115</v>
      </c>
      <c r="D27" s="23" t="s">
        <v>68</v>
      </c>
      <c r="E27" s="8">
        <v>43</v>
      </c>
      <c r="F27" s="8">
        <v>59</v>
      </c>
      <c r="G27" s="9">
        <f t="shared" si="0"/>
        <v>16</v>
      </c>
      <c r="H27" s="10">
        <f t="shared" si="1"/>
        <v>0.37209302325581395</v>
      </c>
      <c r="I27" s="11">
        <v>26589.48</v>
      </c>
      <c r="J27" s="11">
        <v>36483.24</v>
      </c>
      <c r="K27" s="12">
        <f t="shared" si="2"/>
        <v>9893.7599999999984</v>
      </c>
      <c r="L27" s="11">
        <f t="shared" si="3"/>
        <v>618.36</v>
      </c>
      <c r="M27" s="11">
        <f t="shared" si="4"/>
        <v>618.36</v>
      </c>
      <c r="N27" s="25">
        <f t="shared" si="5"/>
        <v>0</v>
      </c>
    </row>
    <row r="28" spans="1:14" ht="32.1" customHeight="1">
      <c r="A28" s="22" t="s">
        <v>14</v>
      </c>
      <c r="B28" s="23" t="s">
        <v>71</v>
      </c>
      <c r="C28" s="24">
        <v>8017</v>
      </c>
      <c r="D28" s="23" t="s">
        <v>57</v>
      </c>
      <c r="E28" s="8">
        <v>13</v>
      </c>
      <c r="F28" s="8">
        <v>26</v>
      </c>
      <c r="G28" s="9">
        <f t="shared" si="0"/>
        <v>13</v>
      </c>
      <c r="H28" s="10">
        <f t="shared" si="1"/>
        <v>1</v>
      </c>
      <c r="I28" s="11">
        <v>3263.65</v>
      </c>
      <c r="J28" s="11">
        <v>6527.3</v>
      </c>
      <c r="K28" s="12">
        <f t="shared" si="2"/>
        <v>3263.65</v>
      </c>
      <c r="L28" s="11">
        <f t="shared" si="3"/>
        <v>251.05</v>
      </c>
      <c r="M28" s="11">
        <f t="shared" si="4"/>
        <v>251.05</v>
      </c>
      <c r="N28" s="25">
        <f t="shared" si="5"/>
        <v>0</v>
      </c>
    </row>
    <row r="29" spans="1:14" ht="32.1" customHeight="1">
      <c r="A29" s="22" t="s">
        <v>14</v>
      </c>
      <c r="B29" s="23" t="s">
        <v>70</v>
      </c>
      <c r="C29" s="24">
        <v>16006</v>
      </c>
      <c r="D29" s="23" t="s">
        <v>86</v>
      </c>
      <c r="E29" s="8">
        <v>0</v>
      </c>
      <c r="F29" s="8">
        <v>12</v>
      </c>
      <c r="G29" s="9">
        <f t="shared" si="0"/>
        <v>12</v>
      </c>
      <c r="H29" s="10" t="str">
        <f t="shared" si="1"/>
        <v/>
      </c>
      <c r="I29" s="11">
        <v>0</v>
      </c>
      <c r="J29" s="11">
        <v>1622.88</v>
      </c>
      <c r="K29" s="12">
        <f t="shared" si="2"/>
        <v>1622.88</v>
      </c>
      <c r="L29" s="11" t="str">
        <f t="shared" si="3"/>
        <v/>
      </c>
      <c r="M29" s="11">
        <f t="shared" si="4"/>
        <v>135.24</v>
      </c>
      <c r="N29" s="25" t="str">
        <f t="shared" si="5"/>
        <v/>
      </c>
    </row>
    <row r="30" spans="1:14" ht="32.1" customHeight="1">
      <c r="A30" s="22" t="s">
        <v>14</v>
      </c>
      <c r="B30" s="23" t="s">
        <v>70</v>
      </c>
      <c r="C30" s="24">
        <v>40022</v>
      </c>
      <c r="D30" s="23" t="s">
        <v>87</v>
      </c>
      <c r="E30" s="8">
        <v>91</v>
      </c>
      <c r="F30" s="8">
        <v>101</v>
      </c>
      <c r="G30" s="9">
        <f t="shared" si="0"/>
        <v>10</v>
      </c>
      <c r="H30" s="10">
        <f t="shared" si="1"/>
        <v>0.10989010989010989</v>
      </c>
      <c r="I30" s="11">
        <v>21777.21</v>
      </c>
      <c r="J30" s="11">
        <v>24170.31</v>
      </c>
      <c r="K30" s="12">
        <f t="shared" si="2"/>
        <v>2393.1000000000022</v>
      </c>
      <c r="L30" s="11">
        <f t="shared" si="3"/>
        <v>239.31</v>
      </c>
      <c r="M30" s="11">
        <f t="shared" si="4"/>
        <v>239.31</v>
      </c>
      <c r="N30" s="25">
        <f t="shared" si="5"/>
        <v>0</v>
      </c>
    </row>
    <row r="31" spans="1:14" ht="32.1" customHeight="1">
      <c r="A31" s="22" t="s">
        <v>14</v>
      </c>
      <c r="B31" s="23" t="s">
        <v>71</v>
      </c>
      <c r="C31" s="24">
        <v>51454</v>
      </c>
      <c r="D31" s="23" t="s">
        <v>88</v>
      </c>
      <c r="E31" s="8">
        <v>5</v>
      </c>
      <c r="F31" s="8">
        <v>15</v>
      </c>
      <c r="G31" s="9">
        <f t="shared" si="0"/>
        <v>10</v>
      </c>
      <c r="H31" s="10">
        <f t="shared" si="1"/>
        <v>2</v>
      </c>
      <c r="I31" s="11">
        <v>25000</v>
      </c>
      <c r="J31" s="11">
        <v>75000</v>
      </c>
      <c r="K31" s="12">
        <f t="shared" si="2"/>
        <v>50000</v>
      </c>
      <c r="L31" s="11">
        <f t="shared" si="3"/>
        <v>5000</v>
      </c>
      <c r="M31" s="11">
        <f t="shared" si="4"/>
        <v>5000</v>
      </c>
      <c r="N31" s="25">
        <f t="shared" si="5"/>
        <v>0</v>
      </c>
    </row>
    <row r="32" spans="1:14" ht="32.1" customHeight="1">
      <c r="A32" s="22" t="s">
        <v>14</v>
      </c>
      <c r="B32" s="23" t="s">
        <v>75</v>
      </c>
      <c r="C32" s="24">
        <v>40054</v>
      </c>
      <c r="D32" s="23" t="s">
        <v>29</v>
      </c>
      <c r="E32" s="8">
        <v>247</v>
      </c>
      <c r="F32" s="8">
        <v>254</v>
      </c>
      <c r="G32" s="9">
        <f t="shared" si="0"/>
        <v>7</v>
      </c>
      <c r="H32" s="10">
        <f t="shared" si="1"/>
        <v>2.8340080971659919E-2</v>
      </c>
      <c r="I32" s="11">
        <v>33159.75</v>
      </c>
      <c r="J32" s="11">
        <v>34099.5</v>
      </c>
      <c r="K32" s="12">
        <f t="shared" si="2"/>
        <v>939.75</v>
      </c>
      <c r="L32" s="11">
        <f t="shared" si="3"/>
        <v>134.25</v>
      </c>
      <c r="M32" s="11">
        <f t="shared" si="4"/>
        <v>134.25</v>
      </c>
      <c r="N32" s="25">
        <f t="shared" si="5"/>
        <v>0</v>
      </c>
    </row>
    <row r="33" spans="1:14" ht="32.1" customHeight="1">
      <c r="A33" s="22" t="s">
        <v>14</v>
      </c>
      <c r="B33" s="23" t="s">
        <v>73</v>
      </c>
      <c r="C33" s="24">
        <v>1445</v>
      </c>
      <c r="D33" s="23" t="s">
        <v>89</v>
      </c>
      <c r="E33" s="8">
        <v>0</v>
      </c>
      <c r="F33" s="8">
        <v>6</v>
      </c>
      <c r="G33" s="9">
        <f t="shared" si="0"/>
        <v>6</v>
      </c>
      <c r="H33" s="10" t="str">
        <f t="shared" si="1"/>
        <v/>
      </c>
      <c r="I33" s="11">
        <v>0</v>
      </c>
      <c r="J33" s="11">
        <v>1005.54</v>
      </c>
      <c r="K33" s="12">
        <f t="shared" si="2"/>
        <v>1005.54</v>
      </c>
      <c r="L33" s="11" t="str">
        <f t="shared" si="3"/>
        <v/>
      </c>
      <c r="M33" s="11">
        <f t="shared" si="4"/>
        <v>167.59</v>
      </c>
      <c r="N33" s="25" t="str">
        <f t="shared" si="5"/>
        <v/>
      </c>
    </row>
    <row r="34" spans="1:14" ht="32.1" customHeight="1">
      <c r="A34" s="22" t="s">
        <v>14</v>
      </c>
      <c r="B34" s="23" t="s">
        <v>70</v>
      </c>
      <c r="C34" s="24">
        <v>1980</v>
      </c>
      <c r="D34" s="23" t="s">
        <v>90</v>
      </c>
      <c r="E34" s="8">
        <v>64</v>
      </c>
      <c r="F34" s="8">
        <v>70</v>
      </c>
      <c r="G34" s="9">
        <f t="shared" si="0"/>
        <v>6</v>
      </c>
      <c r="H34" s="10">
        <f t="shared" si="1"/>
        <v>9.375E-2</v>
      </c>
      <c r="I34" s="11">
        <v>99489.919999999998</v>
      </c>
      <c r="J34" s="11">
        <v>108817.1</v>
      </c>
      <c r="K34" s="12">
        <f t="shared" si="2"/>
        <v>9327.1800000000076</v>
      </c>
      <c r="L34" s="11">
        <f t="shared" si="3"/>
        <v>1554.53</v>
      </c>
      <c r="M34" s="11">
        <f t="shared" si="4"/>
        <v>1554.53</v>
      </c>
      <c r="N34" s="25">
        <f t="shared" si="5"/>
        <v>0</v>
      </c>
    </row>
    <row r="35" spans="1:14" ht="32.1" customHeight="1">
      <c r="A35" s="22" t="s">
        <v>14</v>
      </c>
      <c r="B35" s="23" t="s">
        <v>71</v>
      </c>
      <c r="C35" s="24">
        <v>8082</v>
      </c>
      <c r="D35" s="23" t="s">
        <v>91</v>
      </c>
      <c r="E35" s="8">
        <v>2</v>
      </c>
      <c r="F35" s="8">
        <v>8</v>
      </c>
      <c r="G35" s="9">
        <f t="shared" si="0"/>
        <v>6</v>
      </c>
      <c r="H35" s="10">
        <f t="shared" si="1"/>
        <v>3</v>
      </c>
      <c r="I35" s="11">
        <v>10000</v>
      </c>
      <c r="J35" s="11">
        <v>40000</v>
      </c>
      <c r="K35" s="12">
        <f t="shared" si="2"/>
        <v>30000</v>
      </c>
      <c r="L35" s="11">
        <f t="shared" si="3"/>
        <v>5000</v>
      </c>
      <c r="M35" s="11">
        <f t="shared" si="4"/>
        <v>5000</v>
      </c>
      <c r="N35" s="25">
        <f t="shared" si="5"/>
        <v>0</v>
      </c>
    </row>
    <row r="36" spans="1:14" ht="32.1" customHeight="1">
      <c r="A36" s="22" t="s">
        <v>14</v>
      </c>
      <c r="B36" s="23" t="s">
        <v>71</v>
      </c>
      <c r="C36" s="24">
        <v>8086</v>
      </c>
      <c r="D36" s="23" t="s">
        <v>59</v>
      </c>
      <c r="E36" s="8">
        <v>0</v>
      </c>
      <c r="F36" s="8">
        <v>6</v>
      </c>
      <c r="G36" s="9">
        <f t="shared" si="0"/>
        <v>6</v>
      </c>
      <c r="H36" s="10" t="str">
        <f t="shared" si="1"/>
        <v/>
      </c>
      <c r="I36" s="11">
        <v>0</v>
      </c>
      <c r="J36" s="11">
        <v>7270.8</v>
      </c>
      <c r="K36" s="12">
        <f t="shared" si="2"/>
        <v>7270.8</v>
      </c>
      <c r="L36" s="11" t="str">
        <f t="shared" si="3"/>
        <v/>
      </c>
      <c r="M36" s="11">
        <f t="shared" si="4"/>
        <v>1211.8</v>
      </c>
      <c r="N36" s="25" t="str">
        <f t="shared" si="5"/>
        <v/>
      </c>
    </row>
    <row r="37" spans="1:14" ht="32.1" customHeight="1">
      <c r="A37" s="22" t="s">
        <v>14</v>
      </c>
      <c r="B37" s="23" t="s">
        <v>70</v>
      </c>
      <c r="C37" s="24">
        <v>22722</v>
      </c>
      <c r="D37" s="23" t="s">
        <v>28</v>
      </c>
      <c r="E37" s="8">
        <v>266</v>
      </c>
      <c r="F37" s="8">
        <v>272</v>
      </c>
      <c r="G37" s="9">
        <f t="shared" si="0"/>
        <v>6</v>
      </c>
      <c r="H37" s="10">
        <f t="shared" si="1"/>
        <v>2.2556390977443608E-2</v>
      </c>
      <c r="I37" s="11">
        <v>138535.46</v>
      </c>
      <c r="J37" s="11">
        <v>141660.32</v>
      </c>
      <c r="K37" s="12">
        <f t="shared" si="2"/>
        <v>3124.8600000000151</v>
      </c>
      <c r="L37" s="11">
        <f t="shared" si="3"/>
        <v>520.80999999999995</v>
      </c>
      <c r="M37" s="11">
        <f t="shared" si="4"/>
        <v>520.81000000000006</v>
      </c>
      <c r="N37" s="25">
        <f t="shared" si="5"/>
        <v>1.1368683772161603E-13</v>
      </c>
    </row>
    <row r="38" spans="1:14" ht="32.1" customHeight="1">
      <c r="A38" s="22" t="s">
        <v>14</v>
      </c>
      <c r="B38" s="23" t="s">
        <v>75</v>
      </c>
      <c r="C38" s="24">
        <v>22142</v>
      </c>
      <c r="D38" s="23" t="s">
        <v>92</v>
      </c>
      <c r="E38" s="8">
        <v>0</v>
      </c>
      <c r="F38" s="8">
        <v>4</v>
      </c>
      <c r="G38" s="9">
        <f t="shared" ref="G38:G69" si="6">F38-E38</f>
        <v>4</v>
      </c>
      <c r="H38" s="10" t="str">
        <f t="shared" ref="H38:H69" si="7">IF(E38=0,"",G38/E38)</f>
        <v/>
      </c>
      <c r="I38" s="11">
        <v>0</v>
      </c>
      <c r="J38" s="11">
        <v>2976.28</v>
      </c>
      <c r="K38" s="12">
        <f t="shared" ref="K38:K69" si="8">J38-I38</f>
        <v>2976.28</v>
      </c>
      <c r="L38" s="11" t="str">
        <f t="shared" ref="L38:L69" si="9">IF(E38=0,"",I38/E38)</f>
        <v/>
      </c>
      <c r="M38" s="11">
        <f t="shared" ref="M38:M69" si="10">IF(F38=0,"",J38/F38)</f>
        <v>744.07</v>
      </c>
      <c r="N38" s="25" t="str">
        <f t="shared" ref="N38:N69" si="11">IF(OR(L38="",M38=""),"",M38-L38)</f>
        <v/>
      </c>
    </row>
    <row r="39" spans="1:14" ht="32.1" customHeight="1">
      <c r="A39" s="22" t="s">
        <v>14</v>
      </c>
      <c r="B39" s="23" t="s">
        <v>70</v>
      </c>
      <c r="C39" s="24">
        <v>40023</v>
      </c>
      <c r="D39" s="23" t="s">
        <v>67</v>
      </c>
      <c r="E39" s="8">
        <v>95</v>
      </c>
      <c r="F39" s="8">
        <v>99</v>
      </c>
      <c r="G39" s="9">
        <f t="shared" si="6"/>
        <v>4</v>
      </c>
      <c r="H39" s="10">
        <f t="shared" si="7"/>
        <v>4.2105263157894736E-2</v>
      </c>
      <c r="I39" s="11">
        <v>29553.55</v>
      </c>
      <c r="J39" s="11">
        <v>30797.91</v>
      </c>
      <c r="K39" s="12">
        <f t="shared" si="8"/>
        <v>1244.3600000000006</v>
      </c>
      <c r="L39" s="11">
        <f t="shared" si="9"/>
        <v>311.08999999999997</v>
      </c>
      <c r="M39" s="11">
        <f t="shared" si="10"/>
        <v>311.08999999999997</v>
      </c>
      <c r="N39" s="25">
        <f t="shared" si="11"/>
        <v>0</v>
      </c>
    </row>
    <row r="40" spans="1:14" ht="32.1" customHeight="1">
      <c r="A40" s="22" t="s">
        <v>14</v>
      </c>
      <c r="B40" s="23" t="s">
        <v>71</v>
      </c>
      <c r="C40" s="24">
        <v>8085</v>
      </c>
      <c r="D40" s="23" t="s">
        <v>93</v>
      </c>
      <c r="E40" s="8">
        <v>5</v>
      </c>
      <c r="F40" s="8">
        <v>8</v>
      </c>
      <c r="G40" s="9">
        <f t="shared" si="6"/>
        <v>3</v>
      </c>
      <c r="H40" s="10">
        <f t="shared" si="7"/>
        <v>0.6</v>
      </c>
      <c r="I40" s="11">
        <v>14814</v>
      </c>
      <c r="J40" s="11">
        <v>23702.400000000001</v>
      </c>
      <c r="K40" s="12">
        <f t="shared" si="8"/>
        <v>8888.4000000000015</v>
      </c>
      <c r="L40" s="11">
        <f t="shared" si="9"/>
        <v>2962.8</v>
      </c>
      <c r="M40" s="11">
        <f t="shared" si="10"/>
        <v>2962.8</v>
      </c>
      <c r="N40" s="25">
        <f t="shared" si="11"/>
        <v>0</v>
      </c>
    </row>
    <row r="41" spans="1:14" ht="32.1" customHeight="1">
      <c r="A41" s="22" t="s">
        <v>14</v>
      </c>
      <c r="B41" s="23" t="s">
        <v>73</v>
      </c>
      <c r="C41" s="24">
        <v>1444</v>
      </c>
      <c r="D41" s="23" t="s">
        <v>64</v>
      </c>
      <c r="E41" s="8">
        <v>0</v>
      </c>
      <c r="F41" s="8">
        <v>2</v>
      </c>
      <c r="G41" s="9">
        <f t="shared" si="6"/>
        <v>2</v>
      </c>
      <c r="H41" s="10" t="str">
        <f t="shared" si="7"/>
        <v/>
      </c>
      <c r="I41" s="11">
        <v>0</v>
      </c>
      <c r="J41" s="11">
        <v>578.44000000000005</v>
      </c>
      <c r="K41" s="12">
        <f t="shared" si="8"/>
        <v>578.44000000000005</v>
      </c>
      <c r="L41" s="11" t="str">
        <f t="shared" si="9"/>
        <v/>
      </c>
      <c r="M41" s="11">
        <f t="shared" si="10"/>
        <v>289.22000000000003</v>
      </c>
      <c r="N41" s="25" t="str">
        <f t="shared" si="11"/>
        <v/>
      </c>
    </row>
    <row r="42" spans="1:14" ht="32.1" customHeight="1">
      <c r="A42" s="22" t="s">
        <v>14</v>
      </c>
      <c r="B42" s="23" t="s">
        <v>71</v>
      </c>
      <c r="C42" s="24">
        <v>8039</v>
      </c>
      <c r="D42" s="23" t="s">
        <v>94</v>
      </c>
      <c r="E42" s="8">
        <v>4</v>
      </c>
      <c r="F42" s="8">
        <v>6</v>
      </c>
      <c r="G42" s="9">
        <f t="shared" si="6"/>
        <v>2</v>
      </c>
      <c r="H42" s="10">
        <f t="shared" si="7"/>
        <v>0.5</v>
      </c>
      <c r="I42" s="11">
        <v>1775.72</v>
      </c>
      <c r="J42" s="11">
        <v>2663.58</v>
      </c>
      <c r="K42" s="12">
        <f t="shared" si="8"/>
        <v>887.8599999999999</v>
      </c>
      <c r="L42" s="11">
        <f t="shared" si="9"/>
        <v>443.93</v>
      </c>
      <c r="M42" s="11">
        <f t="shared" si="10"/>
        <v>443.93</v>
      </c>
      <c r="N42" s="25">
        <f t="shared" si="11"/>
        <v>0</v>
      </c>
    </row>
    <row r="43" spans="1:14" ht="32.1" customHeight="1">
      <c r="A43" s="22" t="s">
        <v>14</v>
      </c>
      <c r="B43" s="23" t="s">
        <v>73</v>
      </c>
      <c r="C43" s="24">
        <v>1447</v>
      </c>
      <c r="D43" s="23" t="s">
        <v>95</v>
      </c>
      <c r="E43" s="8">
        <v>0</v>
      </c>
      <c r="F43" s="8">
        <v>1</v>
      </c>
      <c r="G43" s="9">
        <f t="shared" si="6"/>
        <v>1</v>
      </c>
      <c r="H43" s="10" t="str">
        <f t="shared" si="7"/>
        <v/>
      </c>
      <c r="I43" s="11">
        <v>0</v>
      </c>
      <c r="J43" s="11">
        <v>128.56</v>
      </c>
      <c r="K43" s="12">
        <f t="shared" si="8"/>
        <v>128.56</v>
      </c>
      <c r="L43" s="11" t="str">
        <f t="shared" si="9"/>
        <v/>
      </c>
      <c r="M43" s="11">
        <f t="shared" si="10"/>
        <v>128.56</v>
      </c>
      <c r="N43" s="25" t="str">
        <f t="shared" si="11"/>
        <v/>
      </c>
    </row>
    <row r="44" spans="1:14" ht="32.1" customHeight="1">
      <c r="A44" s="22" t="s">
        <v>14</v>
      </c>
      <c r="B44" s="23" t="s">
        <v>71</v>
      </c>
      <c r="C44" s="24">
        <v>8081</v>
      </c>
      <c r="D44" s="23" t="s">
        <v>96</v>
      </c>
      <c r="E44" s="8">
        <v>1</v>
      </c>
      <c r="F44" s="8">
        <v>2</v>
      </c>
      <c r="G44" s="9">
        <f t="shared" si="6"/>
        <v>1</v>
      </c>
      <c r="H44" s="10">
        <f t="shared" si="7"/>
        <v>1</v>
      </c>
      <c r="I44" s="11">
        <v>5000</v>
      </c>
      <c r="J44" s="11">
        <v>10000</v>
      </c>
      <c r="K44" s="12">
        <f t="shared" si="8"/>
        <v>5000</v>
      </c>
      <c r="L44" s="11">
        <f t="shared" si="9"/>
        <v>5000</v>
      </c>
      <c r="M44" s="11">
        <f t="shared" si="10"/>
        <v>5000</v>
      </c>
      <c r="N44" s="25">
        <f t="shared" si="11"/>
        <v>0</v>
      </c>
    </row>
    <row r="45" spans="1:14" ht="32.1" customHeight="1">
      <c r="A45" s="22" t="s">
        <v>14</v>
      </c>
      <c r="B45" s="23" t="s">
        <v>71</v>
      </c>
      <c r="C45" s="24">
        <v>8083</v>
      </c>
      <c r="D45" s="23" t="s">
        <v>97</v>
      </c>
      <c r="E45" s="8">
        <v>0</v>
      </c>
      <c r="F45" s="8">
        <v>1</v>
      </c>
      <c r="G45" s="9">
        <f t="shared" si="6"/>
        <v>1</v>
      </c>
      <c r="H45" s="10" t="str">
        <f t="shared" si="7"/>
        <v/>
      </c>
      <c r="I45" s="11">
        <v>0</v>
      </c>
      <c r="J45" s="11">
        <v>5000</v>
      </c>
      <c r="K45" s="12">
        <f t="shared" si="8"/>
        <v>5000</v>
      </c>
      <c r="L45" s="11" t="str">
        <f t="shared" si="9"/>
        <v/>
      </c>
      <c r="M45" s="11">
        <f t="shared" si="10"/>
        <v>5000</v>
      </c>
      <c r="N45" s="25" t="str">
        <f t="shared" si="11"/>
        <v/>
      </c>
    </row>
    <row r="46" spans="1:14" ht="32.1" customHeight="1">
      <c r="A46" s="22" t="s">
        <v>14</v>
      </c>
      <c r="B46" s="23" t="s">
        <v>71</v>
      </c>
      <c r="C46" s="24">
        <v>8084</v>
      </c>
      <c r="D46" s="23" t="s">
        <v>98</v>
      </c>
      <c r="E46" s="8">
        <v>2</v>
      </c>
      <c r="F46" s="8">
        <v>3</v>
      </c>
      <c r="G46" s="9">
        <f t="shared" si="6"/>
        <v>1</v>
      </c>
      <c r="H46" s="10">
        <f t="shared" si="7"/>
        <v>0.5</v>
      </c>
      <c r="I46" s="11">
        <v>10000</v>
      </c>
      <c r="J46" s="11">
        <v>15000</v>
      </c>
      <c r="K46" s="12">
        <f t="shared" si="8"/>
        <v>5000</v>
      </c>
      <c r="L46" s="11">
        <f t="shared" si="9"/>
        <v>5000</v>
      </c>
      <c r="M46" s="11">
        <f t="shared" si="10"/>
        <v>5000</v>
      </c>
      <c r="N46" s="25">
        <f t="shared" si="11"/>
        <v>0</v>
      </c>
    </row>
    <row r="47" spans="1:14" ht="32.1" customHeight="1">
      <c r="A47" s="22" t="s">
        <v>14</v>
      </c>
      <c r="B47" s="23" t="s">
        <v>75</v>
      </c>
      <c r="C47" s="24">
        <v>40033</v>
      </c>
      <c r="D47" s="23" t="s">
        <v>62</v>
      </c>
      <c r="E47" s="8">
        <v>0</v>
      </c>
      <c r="F47" s="8">
        <v>1</v>
      </c>
      <c r="G47" s="9">
        <f t="shared" si="6"/>
        <v>1</v>
      </c>
      <c r="H47" s="10" t="str">
        <f t="shared" si="7"/>
        <v/>
      </c>
      <c r="I47" s="11">
        <v>0</v>
      </c>
      <c r="J47" s="11">
        <v>102.17</v>
      </c>
      <c r="K47" s="12">
        <f t="shared" si="8"/>
        <v>102.17</v>
      </c>
      <c r="L47" s="11" t="str">
        <f t="shared" si="9"/>
        <v/>
      </c>
      <c r="M47" s="11">
        <f t="shared" si="10"/>
        <v>102.17</v>
      </c>
      <c r="N47" s="25" t="str">
        <f t="shared" si="11"/>
        <v/>
      </c>
    </row>
    <row r="48" spans="1:14" ht="32.1" customHeight="1">
      <c r="A48" s="22" t="s">
        <v>14</v>
      </c>
      <c r="B48" s="23" t="s">
        <v>71</v>
      </c>
      <c r="C48" s="24">
        <v>8075</v>
      </c>
      <c r="D48" s="23" t="s">
        <v>99</v>
      </c>
      <c r="E48" s="8">
        <v>1</v>
      </c>
      <c r="F48" s="8">
        <v>1</v>
      </c>
      <c r="G48" s="9">
        <f t="shared" si="6"/>
        <v>0</v>
      </c>
      <c r="H48" s="10">
        <f t="shared" si="7"/>
        <v>0</v>
      </c>
      <c r="I48" s="11">
        <v>178.98</v>
      </c>
      <c r="J48" s="11">
        <v>178.98</v>
      </c>
      <c r="K48" s="12">
        <f t="shared" si="8"/>
        <v>0</v>
      </c>
      <c r="L48" s="11">
        <f t="shared" si="9"/>
        <v>178.98</v>
      </c>
      <c r="M48" s="11">
        <f t="shared" si="10"/>
        <v>178.98</v>
      </c>
      <c r="N48" s="25">
        <f t="shared" si="11"/>
        <v>0</v>
      </c>
    </row>
    <row r="49" spans="1:14" ht="32.1" customHeight="1">
      <c r="A49" s="22" t="s">
        <v>14</v>
      </c>
      <c r="B49" s="23" t="s">
        <v>70</v>
      </c>
      <c r="C49" s="24">
        <v>1982</v>
      </c>
      <c r="D49" s="23" t="s">
        <v>100</v>
      </c>
      <c r="E49" s="8">
        <v>16</v>
      </c>
      <c r="F49" s="8">
        <v>15</v>
      </c>
      <c r="G49" s="9">
        <f t="shared" si="6"/>
        <v>-1</v>
      </c>
      <c r="H49" s="10">
        <f t="shared" si="7"/>
        <v>-6.25E-2</v>
      </c>
      <c r="I49" s="11">
        <v>12537.92</v>
      </c>
      <c r="J49" s="11">
        <v>11754.3</v>
      </c>
      <c r="K49" s="12">
        <f t="shared" si="8"/>
        <v>-783.6200000000008</v>
      </c>
      <c r="L49" s="11">
        <f t="shared" si="9"/>
        <v>783.62</v>
      </c>
      <c r="M49" s="11">
        <f t="shared" si="10"/>
        <v>783.62</v>
      </c>
      <c r="N49" s="25">
        <f t="shared" si="11"/>
        <v>0</v>
      </c>
    </row>
    <row r="50" spans="1:14" ht="32.1" customHeight="1">
      <c r="A50" s="22" t="s">
        <v>14</v>
      </c>
      <c r="B50" s="23" t="s">
        <v>71</v>
      </c>
      <c r="C50" s="24">
        <v>8088</v>
      </c>
      <c r="D50" s="23" t="s">
        <v>101</v>
      </c>
      <c r="E50" s="8">
        <v>5</v>
      </c>
      <c r="F50" s="8">
        <v>4</v>
      </c>
      <c r="G50" s="9">
        <f t="shared" si="6"/>
        <v>-1</v>
      </c>
      <c r="H50" s="10">
        <f t="shared" si="7"/>
        <v>-0.2</v>
      </c>
      <c r="I50" s="11">
        <v>48991.95</v>
      </c>
      <c r="J50" s="11">
        <v>39193.56</v>
      </c>
      <c r="K50" s="12">
        <f t="shared" si="8"/>
        <v>-9798.39</v>
      </c>
      <c r="L50" s="11">
        <f t="shared" si="9"/>
        <v>9798.39</v>
      </c>
      <c r="M50" s="11">
        <f t="shared" si="10"/>
        <v>9798.39</v>
      </c>
      <c r="N50" s="25">
        <f t="shared" si="11"/>
        <v>0</v>
      </c>
    </row>
    <row r="51" spans="1:14" ht="32.1" customHeight="1">
      <c r="A51" s="22" t="s">
        <v>14</v>
      </c>
      <c r="B51" s="23" t="s">
        <v>75</v>
      </c>
      <c r="C51" s="24">
        <v>22111</v>
      </c>
      <c r="D51" s="23" t="s">
        <v>102</v>
      </c>
      <c r="E51" s="8">
        <v>1</v>
      </c>
      <c r="F51" s="8">
        <v>0</v>
      </c>
      <c r="G51" s="9">
        <f t="shared" si="6"/>
        <v>-1</v>
      </c>
      <c r="H51" s="10">
        <f t="shared" si="7"/>
        <v>-1</v>
      </c>
      <c r="I51" s="11">
        <v>4.49</v>
      </c>
      <c r="J51" s="11">
        <v>0</v>
      </c>
      <c r="K51" s="12">
        <f t="shared" si="8"/>
        <v>-4.49</v>
      </c>
      <c r="L51" s="11">
        <f t="shared" si="9"/>
        <v>4.49</v>
      </c>
      <c r="M51" s="11" t="str">
        <f t="shared" si="10"/>
        <v/>
      </c>
      <c r="N51" s="25" t="str">
        <f t="shared" si="11"/>
        <v/>
      </c>
    </row>
    <row r="52" spans="1:14" ht="32.1" customHeight="1">
      <c r="A52" s="22" t="s">
        <v>14</v>
      </c>
      <c r="B52" s="23" t="s">
        <v>76</v>
      </c>
      <c r="C52" s="24">
        <v>24022</v>
      </c>
      <c r="D52" s="23" t="s">
        <v>103</v>
      </c>
      <c r="E52" s="8">
        <v>1</v>
      </c>
      <c r="F52" s="8">
        <v>0</v>
      </c>
      <c r="G52" s="9">
        <f t="shared" si="6"/>
        <v>-1</v>
      </c>
      <c r="H52" s="10">
        <f t="shared" si="7"/>
        <v>-1</v>
      </c>
      <c r="I52" s="11">
        <v>332.74</v>
      </c>
      <c r="J52" s="11">
        <v>0</v>
      </c>
      <c r="K52" s="12">
        <f t="shared" si="8"/>
        <v>-332.74</v>
      </c>
      <c r="L52" s="11">
        <f t="shared" si="9"/>
        <v>332.74</v>
      </c>
      <c r="M52" s="11" t="str">
        <f t="shared" si="10"/>
        <v/>
      </c>
      <c r="N52" s="25" t="str">
        <f t="shared" si="11"/>
        <v/>
      </c>
    </row>
    <row r="53" spans="1:14" ht="32.1" customHeight="1">
      <c r="A53" s="22" t="s">
        <v>14</v>
      </c>
      <c r="B53" s="23" t="s">
        <v>75</v>
      </c>
      <c r="C53" s="24">
        <v>40032</v>
      </c>
      <c r="D53" s="23" t="s">
        <v>104</v>
      </c>
      <c r="E53" s="8">
        <v>1</v>
      </c>
      <c r="F53" s="8">
        <v>0</v>
      </c>
      <c r="G53" s="9">
        <f t="shared" si="6"/>
        <v>-1</v>
      </c>
      <c r="H53" s="10">
        <f t="shared" si="7"/>
        <v>-1</v>
      </c>
      <c r="I53" s="11">
        <v>204.31</v>
      </c>
      <c r="J53" s="11">
        <v>0</v>
      </c>
      <c r="K53" s="12">
        <f t="shared" si="8"/>
        <v>-204.31</v>
      </c>
      <c r="L53" s="11">
        <f t="shared" si="9"/>
        <v>204.31</v>
      </c>
      <c r="M53" s="11" t="str">
        <f t="shared" si="10"/>
        <v/>
      </c>
      <c r="N53" s="25" t="str">
        <f t="shared" si="11"/>
        <v/>
      </c>
    </row>
    <row r="54" spans="1:14" ht="32.1" customHeight="1">
      <c r="A54" s="22" t="s">
        <v>14</v>
      </c>
      <c r="B54" s="23" t="s">
        <v>75</v>
      </c>
      <c r="C54" s="24">
        <v>40001</v>
      </c>
      <c r="D54" s="23" t="s">
        <v>105</v>
      </c>
      <c r="E54" s="8">
        <v>2</v>
      </c>
      <c r="F54" s="8">
        <v>0</v>
      </c>
      <c r="G54" s="9">
        <f t="shared" si="6"/>
        <v>-2</v>
      </c>
      <c r="H54" s="10">
        <f t="shared" si="7"/>
        <v>-1</v>
      </c>
      <c r="I54" s="11">
        <v>415.86</v>
      </c>
      <c r="J54" s="11">
        <v>0</v>
      </c>
      <c r="K54" s="12">
        <f t="shared" si="8"/>
        <v>-415.86</v>
      </c>
      <c r="L54" s="11">
        <f t="shared" si="9"/>
        <v>207.93</v>
      </c>
      <c r="M54" s="11" t="str">
        <f t="shared" si="10"/>
        <v/>
      </c>
      <c r="N54" s="25" t="str">
        <f t="shared" si="11"/>
        <v/>
      </c>
    </row>
    <row r="55" spans="1:14" ht="32.1" customHeight="1">
      <c r="A55" s="22" t="s">
        <v>14</v>
      </c>
      <c r="B55" s="23" t="s">
        <v>75</v>
      </c>
      <c r="C55" s="24">
        <v>40004</v>
      </c>
      <c r="D55" s="23" t="s">
        <v>56</v>
      </c>
      <c r="E55" s="8">
        <v>4</v>
      </c>
      <c r="F55" s="8">
        <v>1</v>
      </c>
      <c r="G55" s="9">
        <f t="shared" si="6"/>
        <v>-3</v>
      </c>
      <c r="H55" s="10">
        <f t="shared" si="7"/>
        <v>-0.75</v>
      </c>
      <c r="I55" s="11">
        <v>553.79999999999995</v>
      </c>
      <c r="J55" s="11">
        <v>138.44999999999999</v>
      </c>
      <c r="K55" s="12">
        <f t="shared" si="8"/>
        <v>-415.34999999999997</v>
      </c>
      <c r="L55" s="11">
        <f t="shared" si="9"/>
        <v>138.44999999999999</v>
      </c>
      <c r="M55" s="11">
        <f t="shared" si="10"/>
        <v>138.44999999999999</v>
      </c>
      <c r="N55" s="25">
        <f t="shared" si="11"/>
        <v>0</v>
      </c>
    </row>
    <row r="56" spans="1:14" ht="32.1" customHeight="1">
      <c r="A56" s="22" t="s">
        <v>14</v>
      </c>
      <c r="B56" s="23" t="s">
        <v>75</v>
      </c>
      <c r="C56" s="24">
        <v>40095</v>
      </c>
      <c r="D56" s="23" t="s">
        <v>33</v>
      </c>
      <c r="E56" s="8">
        <v>3</v>
      </c>
      <c r="F56" s="8">
        <v>0</v>
      </c>
      <c r="G56" s="9">
        <f t="shared" si="6"/>
        <v>-3</v>
      </c>
      <c r="H56" s="10">
        <f t="shared" si="7"/>
        <v>-1</v>
      </c>
      <c r="I56" s="11">
        <v>2122.56</v>
      </c>
      <c r="J56" s="11">
        <v>0</v>
      </c>
      <c r="K56" s="12">
        <f t="shared" si="8"/>
        <v>-2122.56</v>
      </c>
      <c r="L56" s="11">
        <f t="shared" si="9"/>
        <v>707.52</v>
      </c>
      <c r="M56" s="11" t="str">
        <f t="shared" si="10"/>
        <v/>
      </c>
      <c r="N56" s="25" t="str">
        <f t="shared" si="11"/>
        <v/>
      </c>
    </row>
    <row r="57" spans="1:14" ht="32.1" customHeight="1">
      <c r="A57" s="22" t="s">
        <v>14</v>
      </c>
      <c r="B57" s="23" t="s">
        <v>71</v>
      </c>
      <c r="C57" s="24">
        <v>8089</v>
      </c>
      <c r="D57" s="23" t="s">
        <v>55</v>
      </c>
      <c r="E57" s="8">
        <v>32</v>
      </c>
      <c r="F57" s="8">
        <v>19</v>
      </c>
      <c r="G57" s="9">
        <f t="shared" si="6"/>
        <v>-13</v>
      </c>
      <c r="H57" s="10">
        <f t="shared" si="7"/>
        <v>-0.40625</v>
      </c>
      <c r="I57" s="11">
        <v>99193.279999999999</v>
      </c>
      <c r="J57" s="11">
        <v>58896.01</v>
      </c>
      <c r="K57" s="12">
        <f t="shared" si="8"/>
        <v>-40297.269999999997</v>
      </c>
      <c r="L57" s="11">
        <f t="shared" si="9"/>
        <v>3099.79</v>
      </c>
      <c r="M57" s="11">
        <f t="shared" si="10"/>
        <v>3099.79</v>
      </c>
      <c r="N57" s="25">
        <f t="shared" si="11"/>
        <v>0</v>
      </c>
    </row>
    <row r="58" spans="1:14" ht="32.1" customHeight="1">
      <c r="A58" s="22" t="s">
        <v>14</v>
      </c>
      <c r="B58" s="23" t="s">
        <v>73</v>
      </c>
      <c r="C58" s="24">
        <v>1849</v>
      </c>
      <c r="D58" s="23" t="s">
        <v>36</v>
      </c>
      <c r="E58" s="8">
        <v>120</v>
      </c>
      <c r="F58" s="8">
        <v>106</v>
      </c>
      <c r="G58" s="9">
        <f t="shared" si="6"/>
        <v>-14</v>
      </c>
      <c r="H58" s="10">
        <f t="shared" si="7"/>
        <v>-0.11666666666666667</v>
      </c>
      <c r="I58" s="11">
        <v>13502.4</v>
      </c>
      <c r="J58" s="11">
        <v>11927.12</v>
      </c>
      <c r="K58" s="12">
        <f t="shared" si="8"/>
        <v>-1575.2799999999988</v>
      </c>
      <c r="L58" s="11">
        <f t="shared" si="9"/>
        <v>112.52</v>
      </c>
      <c r="M58" s="11">
        <f t="shared" si="10"/>
        <v>112.52000000000001</v>
      </c>
      <c r="N58" s="25">
        <f t="shared" si="11"/>
        <v>1.4210854715202004E-14</v>
      </c>
    </row>
    <row r="59" spans="1:14" ht="32.1" customHeight="1">
      <c r="A59" s="22" t="s">
        <v>14</v>
      </c>
      <c r="B59" s="23" t="s">
        <v>76</v>
      </c>
      <c r="C59" s="24">
        <v>2001</v>
      </c>
      <c r="D59" s="23" t="s">
        <v>54</v>
      </c>
      <c r="E59" s="8">
        <v>16</v>
      </c>
      <c r="F59" s="8">
        <v>0</v>
      </c>
      <c r="G59" s="9">
        <f t="shared" si="6"/>
        <v>-16</v>
      </c>
      <c r="H59" s="10">
        <f t="shared" si="7"/>
        <v>-1</v>
      </c>
      <c r="I59" s="11">
        <v>747.52</v>
      </c>
      <c r="J59" s="11">
        <v>0</v>
      </c>
      <c r="K59" s="12">
        <f t="shared" si="8"/>
        <v>-747.52</v>
      </c>
      <c r="L59" s="11">
        <f t="shared" si="9"/>
        <v>46.72</v>
      </c>
      <c r="M59" s="11" t="str">
        <f t="shared" si="10"/>
        <v/>
      </c>
      <c r="N59" s="25" t="str">
        <f t="shared" si="11"/>
        <v/>
      </c>
    </row>
    <row r="60" spans="1:14" ht="32.1" customHeight="1">
      <c r="A60" s="22" t="s">
        <v>14</v>
      </c>
      <c r="B60" s="23" t="s">
        <v>75</v>
      </c>
      <c r="C60" s="24">
        <v>40052</v>
      </c>
      <c r="D60" s="23" t="s">
        <v>31</v>
      </c>
      <c r="E60" s="8">
        <v>254</v>
      </c>
      <c r="F60" s="8">
        <v>233</v>
      </c>
      <c r="G60" s="9">
        <f t="shared" si="6"/>
        <v>-21</v>
      </c>
      <c r="H60" s="10">
        <f t="shared" si="7"/>
        <v>-8.2677165354330714E-2</v>
      </c>
      <c r="I60" s="11">
        <v>36154.36</v>
      </c>
      <c r="J60" s="11">
        <v>33165.22</v>
      </c>
      <c r="K60" s="12">
        <f t="shared" si="8"/>
        <v>-2989.1399999999994</v>
      </c>
      <c r="L60" s="11">
        <f t="shared" si="9"/>
        <v>142.34</v>
      </c>
      <c r="M60" s="11">
        <f t="shared" si="10"/>
        <v>142.34</v>
      </c>
      <c r="N60" s="25">
        <f t="shared" si="11"/>
        <v>0</v>
      </c>
    </row>
    <row r="61" spans="1:14" ht="32.1" customHeight="1">
      <c r="A61" s="22" t="s">
        <v>14</v>
      </c>
      <c r="B61" s="23" t="s">
        <v>70</v>
      </c>
      <c r="C61" s="24">
        <v>40041</v>
      </c>
      <c r="D61" s="23" t="s">
        <v>53</v>
      </c>
      <c r="E61" s="8">
        <v>149</v>
      </c>
      <c r="F61" s="8">
        <v>113</v>
      </c>
      <c r="G61" s="9">
        <f t="shared" si="6"/>
        <v>-36</v>
      </c>
      <c r="H61" s="10">
        <f t="shared" si="7"/>
        <v>-0.24161073825503357</v>
      </c>
      <c r="I61" s="11">
        <v>436564.04</v>
      </c>
      <c r="J61" s="11">
        <v>331085.48</v>
      </c>
      <c r="K61" s="12">
        <f t="shared" si="8"/>
        <v>-105478.56</v>
      </c>
      <c r="L61" s="11">
        <f t="shared" si="9"/>
        <v>2929.96</v>
      </c>
      <c r="M61" s="11">
        <f t="shared" si="10"/>
        <v>2929.96</v>
      </c>
      <c r="N61" s="25">
        <f t="shared" si="11"/>
        <v>0</v>
      </c>
    </row>
    <row r="62" spans="1:14" ht="32.1" customHeight="1">
      <c r="A62" s="22" t="s">
        <v>15</v>
      </c>
      <c r="B62" s="23" t="s">
        <v>75</v>
      </c>
      <c r="C62" s="24">
        <v>40054</v>
      </c>
      <c r="D62" s="23" t="s">
        <v>29</v>
      </c>
      <c r="E62" s="8">
        <v>94</v>
      </c>
      <c r="F62" s="8">
        <v>129</v>
      </c>
      <c r="G62" s="9">
        <f t="shared" si="6"/>
        <v>35</v>
      </c>
      <c r="H62" s="10">
        <f t="shared" si="7"/>
        <v>0.37234042553191488</v>
      </c>
      <c r="I62" s="11">
        <v>12619.5</v>
      </c>
      <c r="J62" s="11">
        <v>17318.25</v>
      </c>
      <c r="K62" s="12">
        <f t="shared" si="8"/>
        <v>4698.75</v>
      </c>
      <c r="L62" s="11">
        <f t="shared" si="9"/>
        <v>134.25</v>
      </c>
      <c r="M62" s="11">
        <f t="shared" si="10"/>
        <v>134.25</v>
      </c>
      <c r="N62" s="25">
        <f t="shared" si="11"/>
        <v>0</v>
      </c>
    </row>
    <row r="63" spans="1:14" ht="32.1" customHeight="1">
      <c r="A63" s="22" t="s">
        <v>15</v>
      </c>
      <c r="B63" s="23" t="s">
        <v>71</v>
      </c>
      <c r="C63" s="24">
        <v>8003</v>
      </c>
      <c r="D63" s="23" t="s">
        <v>25</v>
      </c>
      <c r="E63" s="8">
        <v>68</v>
      </c>
      <c r="F63" s="8">
        <v>98</v>
      </c>
      <c r="G63" s="9">
        <f t="shared" si="6"/>
        <v>30</v>
      </c>
      <c r="H63" s="10">
        <f t="shared" si="7"/>
        <v>0.44117647058823528</v>
      </c>
      <c r="I63" s="11">
        <v>36855.32</v>
      </c>
      <c r="J63" s="11">
        <v>53115.02</v>
      </c>
      <c r="K63" s="12">
        <f t="shared" si="8"/>
        <v>16259.699999999997</v>
      </c>
      <c r="L63" s="11">
        <f t="shared" si="9"/>
        <v>541.99</v>
      </c>
      <c r="M63" s="11">
        <f t="shared" si="10"/>
        <v>541.99</v>
      </c>
      <c r="N63" s="25">
        <f t="shared" si="11"/>
        <v>0</v>
      </c>
    </row>
    <row r="64" spans="1:14" ht="32.1" customHeight="1">
      <c r="A64" s="22" t="s">
        <v>15</v>
      </c>
      <c r="B64" s="23" t="s">
        <v>71</v>
      </c>
      <c r="C64" s="24">
        <v>8017</v>
      </c>
      <c r="D64" s="23" t="s">
        <v>57</v>
      </c>
      <c r="E64" s="8">
        <v>0</v>
      </c>
      <c r="F64" s="8">
        <v>21</v>
      </c>
      <c r="G64" s="9">
        <f t="shared" si="6"/>
        <v>21</v>
      </c>
      <c r="H64" s="10" t="str">
        <f t="shared" si="7"/>
        <v/>
      </c>
      <c r="I64" s="11">
        <v>0</v>
      </c>
      <c r="J64" s="11">
        <v>5272.05</v>
      </c>
      <c r="K64" s="12">
        <f t="shared" si="8"/>
        <v>5272.05</v>
      </c>
      <c r="L64" s="11" t="str">
        <f t="shared" si="9"/>
        <v/>
      </c>
      <c r="M64" s="11">
        <f t="shared" si="10"/>
        <v>251.05</v>
      </c>
      <c r="N64" s="25" t="str">
        <f t="shared" si="11"/>
        <v/>
      </c>
    </row>
    <row r="65" spans="1:14" ht="32.1" customHeight="1">
      <c r="A65" s="22" t="s">
        <v>15</v>
      </c>
      <c r="B65" s="23" t="s">
        <v>75</v>
      </c>
      <c r="C65" s="24">
        <v>40091</v>
      </c>
      <c r="D65" s="23" t="s">
        <v>58</v>
      </c>
      <c r="E65" s="8">
        <v>0</v>
      </c>
      <c r="F65" s="8">
        <v>11</v>
      </c>
      <c r="G65" s="9">
        <f t="shared" si="6"/>
        <v>11</v>
      </c>
      <c r="H65" s="10" t="str">
        <f t="shared" si="7"/>
        <v/>
      </c>
      <c r="I65" s="11">
        <v>0</v>
      </c>
      <c r="J65" s="11">
        <v>1174.9100000000001</v>
      </c>
      <c r="K65" s="12">
        <f t="shared" si="8"/>
        <v>1174.9100000000001</v>
      </c>
      <c r="L65" s="11" t="str">
        <f t="shared" si="9"/>
        <v/>
      </c>
      <c r="M65" s="11">
        <f t="shared" si="10"/>
        <v>106.81</v>
      </c>
      <c r="N65" s="25" t="str">
        <f t="shared" si="11"/>
        <v/>
      </c>
    </row>
    <row r="66" spans="1:14" ht="32.1" customHeight="1">
      <c r="A66" s="22" t="s">
        <v>15</v>
      </c>
      <c r="B66" s="23" t="s">
        <v>71</v>
      </c>
      <c r="C66" s="24">
        <v>8089</v>
      </c>
      <c r="D66" s="23" t="s">
        <v>55</v>
      </c>
      <c r="E66" s="8">
        <v>4</v>
      </c>
      <c r="F66" s="8">
        <v>11</v>
      </c>
      <c r="G66" s="9">
        <f t="shared" si="6"/>
        <v>7</v>
      </c>
      <c r="H66" s="10">
        <f t="shared" si="7"/>
        <v>1.75</v>
      </c>
      <c r="I66" s="11">
        <v>12399.16</v>
      </c>
      <c r="J66" s="11">
        <v>34097.69</v>
      </c>
      <c r="K66" s="12">
        <f t="shared" si="8"/>
        <v>21698.530000000002</v>
      </c>
      <c r="L66" s="11">
        <f t="shared" si="9"/>
        <v>3099.79</v>
      </c>
      <c r="M66" s="11">
        <f t="shared" si="10"/>
        <v>3099.7900000000004</v>
      </c>
      <c r="N66" s="25">
        <f t="shared" si="11"/>
        <v>4.5474735088646412E-13</v>
      </c>
    </row>
    <row r="67" spans="1:14" ht="32.1" customHeight="1">
      <c r="A67" s="22" t="s">
        <v>15</v>
      </c>
      <c r="B67" s="23" t="s">
        <v>71</v>
      </c>
      <c r="C67" s="24">
        <v>8086</v>
      </c>
      <c r="D67" s="23" t="s">
        <v>59</v>
      </c>
      <c r="E67" s="8">
        <v>1</v>
      </c>
      <c r="F67" s="8">
        <v>4</v>
      </c>
      <c r="G67" s="9">
        <f t="shared" si="6"/>
        <v>3</v>
      </c>
      <c r="H67" s="10">
        <f t="shared" si="7"/>
        <v>3</v>
      </c>
      <c r="I67" s="11">
        <v>1211.8</v>
      </c>
      <c r="J67" s="11">
        <v>4847.2</v>
      </c>
      <c r="K67" s="12">
        <f t="shared" si="8"/>
        <v>3635.3999999999996</v>
      </c>
      <c r="L67" s="11">
        <f t="shared" si="9"/>
        <v>1211.8</v>
      </c>
      <c r="M67" s="11">
        <f t="shared" si="10"/>
        <v>1211.8</v>
      </c>
      <c r="N67" s="25">
        <f t="shared" si="11"/>
        <v>0</v>
      </c>
    </row>
    <row r="68" spans="1:14" ht="32.1" customHeight="1">
      <c r="A68" s="22" t="s">
        <v>15</v>
      </c>
      <c r="B68" s="23" t="s">
        <v>71</v>
      </c>
      <c r="C68" s="24">
        <v>3053</v>
      </c>
      <c r="D68" s="23" t="s">
        <v>60</v>
      </c>
      <c r="E68" s="8">
        <v>3</v>
      </c>
      <c r="F68" s="8">
        <v>5</v>
      </c>
      <c r="G68" s="9">
        <f t="shared" si="6"/>
        <v>2</v>
      </c>
      <c r="H68" s="10">
        <f t="shared" si="7"/>
        <v>0.66666666666666663</v>
      </c>
      <c r="I68" s="11">
        <v>1736.58</v>
      </c>
      <c r="J68" s="11">
        <v>2894.3</v>
      </c>
      <c r="K68" s="12">
        <f t="shared" si="8"/>
        <v>1157.7200000000003</v>
      </c>
      <c r="L68" s="11">
        <f t="shared" si="9"/>
        <v>578.86</v>
      </c>
      <c r="M68" s="11">
        <f t="shared" si="10"/>
        <v>578.86</v>
      </c>
      <c r="N68" s="25">
        <f t="shared" si="11"/>
        <v>0</v>
      </c>
    </row>
    <row r="69" spans="1:14" ht="32.1" customHeight="1">
      <c r="A69" s="22" t="s">
        <v>15</v>
      </c>
      <c r="B69" s="23" t="s">
        <v>73</v>
      </c>
      <c r="C69" s="24">
        <v>1443</v>
      </c>
      <c r="D69" s="23" t="s">
        <v>65</v>
      </c>
      <c r="E69" s="8">
        <v>0</v>
      </c>
      <c r="F69" s="8">
        <v>1</v>
      </c>
      <c r="G69" s="9">
        <f t="shared" si="6"/>
        <v>1</v>
      </c>
      <c r="H69" s="10" t="str">
        <f t="shared" si="7"/>
        <v/>
      </c>
      <c r="I69" s="11">
        <v>0</v>
      </c>
      <c r="J69" s="11">
        <v>289.22000000000003</v>
      </c>
      <c r="K69" s="12">
        <f t="shared" si="8"/>
        <v>289.22000000000003</v>
      </c>
      <c r="L69" s="11" t="str">
        <f t="shared" si="9"/>
        <v/>
      </c>
      <c r="M69" s="11">
        <f t="shared" si="10"/>
        <v>289.22000000000003</v>
      </c>
      <c r="N69" s="25" t="str">
        <f t="shared" si="11"/>
        <v/>
      </c>
    </row>
    <row r="70" spans="1:14" ht="32.1" customHeight="1">
      <c r="A70" s="22" t="s">
        <v>15</v>
      </c>
      <c r="B70" s="23" t="s">
        <v>71</v>
      </c>
      <c r="C70" s="24">
        <v>8075</v>
      </c>
      <c r="D70" s="23" t="s">
        <v>99</v>
      </c>
      <c r="E70" s="8">
        <v>0</v>
      </c>
      <c r="F70" s="8">
        <v>1</v>
      </c>
      <c r="G70" s="9">
        <f t="shared" ref="G70:G101" si="12">F70-E70</f>
        <v>1</v>
      </c>
      <c r="H70" s="10" t="str">
        <f t="shared" ref="H70:H101" si="13">IF(E70=0,"",G70/E70)</f>
        <v/>
      </c>
      <c r="I70" s="11">
        <v>0</v>
      </c>
      <c r="J70" s="11">
        <v>178.98</v>
      </c>
      <c r="K70" s="12">
        <f t="shared" ref="K70:K101" si="14">J70-I70</f>
        <v>178.98</v>
      </c>
      <c r="L70" s="11" t="str">
        <f t="shared" ref="L70:L101" si="15">IF(E70=0,"",I70/E70)</f>
        <v/>
      </c>
      <c r="M70" s="11">
        <f t="shared" ref="M70:M101" si="16">IF(F70=0,"",J70/F70)</f>
        <v>178.98</v>
      </c>
      <c r="N70" s="25" t="str">
        <f t="shared" ref="N70:N101" si="17">IF(OR(L70="",M70=""),"",M70-L70)</f>
        <v/>
      </c>
    </row>
    <row r="71" spans="1:14" ht="32.1" customHeight="1">
      <c r="A71" s="22" t="s">
        <v>15</v>
      </c>
      <c r="B71" s="23" t="s">
        <v>73</v>
      </c>
      <c r="C71" s="24">
        <v>1445</v>
      </c>
      <c r="D71" s="23" t="s">
        <v>89</v>
      </c>
      <c r="E71" s="8">
        <v>2</v>
      </c>
      <c r="F71" s="8">
        <v>2</v>
      </c>
      <c r="G71" s="9">
        <f t="shared" si="12"/>
        <v>0</v>
      </c>
      <c r="H71" s="10">
        <f t="shared" si="13"/>
        <v>0</v>
      </c>
      <c r="I71" s="11">
        <v>335.18</v>
      </c>
      <c r="J71" s="11">
        <v>335.18</v>
      </c>
      <c r="K71" s="12">
        <f t="shared" si="14"/>
        <v>0</v>
      </c>
      <c r="L71" s="11">
        <f t="shared" si="15"/>
        <v>167.59</v>
      </c>
      <c r="M71" s="11">
        <f t="shared" si="16"/>
        <v>167.59</v>
      </c>
      <c r="N71" s="25">
        <f t="shared" si="17"/>
        <v>0</v>
      </c>
    </row>
    <row r="72" spans="1:14" ht="32.1" customHeight="1">
      <c r="A72" s="22" t="s">
        <v>15</v>
      </c>
      <c r="B72" s="23" t="s">
        <v>71</v>
      </c>
      <c r="C72" s="24">
        <v>3043</v>
      </c>
      <c r="D72" s="23" t="s">
        <v>106</v>
      </c>
      <c r="E72" s="8">
        <v>1</v>
      </c>
      <c r="F72" s="8">
        <v>1</v>
      </c>
      <c r="G72" s="9">
        <f t="shared" si="12"/>
        <v>0</v>
      </c>
      <c r="H72" s="10">
        <f t="shared" si="13"/>
        <v>0</v>
      </c>
      <c r="I72" s="11">
        <v>179.98</v>
      </c>
      <c r="J72" s="11">
        <v>179.98</v>
      </c>
      <c r="K72" s="12">
        <f t="shared" si="14"/>
        <v>0</v>
      </c>
      <c r="L72" s="11">
        <f t="shared" si="15"/>
        <v>179.98</v>
      </c>
      <c r="M72" s="11">
        <f t="shared" si="16"/>
        <v>179.98</v>
      </c>
      <c r="N72" s="25">
        <f t="shared" si="17"/>
        <v>0</v>
      </c>
    </row>
    <row r="73" spans="1:14" ht="32.1" customHeight="1">
      <c r="A73" s="22" t="s">
        <v>15</v>
      </c>
      <c r="B73" s="23" t="s">
        <v>71</v>
      </c>
      <c r="C73" s="24">
        <v>8085</v>
      </c>
      <c r="D73" s="23" t="s">
        <v>93</v>
      </c>
      <c r="E73" s="8">
        <v>7</v>
      </c>
      <c r="F73" s="8">
        <v>7</v>
      </c>
      <c r="G73" s="9">
        <f t="shared" si="12"/>
        <v>0</v>
      </c>
      <c r="H73" s="10">
        <f t="shared" si="13"/>
        <v>0</v>
      </c>
      <c r="I73" s="11">
        <v>20739.599999999999</v>
      </c>
      <c r="J73" s="11">
        <v>20739.599999999999</v>
      </c>
      <c r="K73" s="12">
        <f t="shared" si="14"/>
        <v>0</v>
      </c>
      <c r="L73" s="11">
        <f t="shared" si="15"/>
        <v>2962.7999999999997</v>
      </c>
      <c r="M73" s="11">
        <f t="shared" si="16"/>
        <v>2962.7999999999997</v>
      </c>
      <c r="N73" s="25">
        <f t="shared" si="17"/>
        <v>0</v>
      </c>
    </row>
    <row r="74" spans="1:14" ht="32.1" customHeight="1">
      <c r="A74" s="22" t="s">
        <v>15</v>
      </c>
      <c r="B74" s="23" t="s">
        <v>73</v>
      </c>
      <c r="C74" s="24">
        <v>1571</v>
      </c>
      <c r="D74" s="23" t="s">
        <v>35</v>
      </c>
      <c r="E74" s="8">
        <v>21</v>
      </c>
      <c r="F74" s="8">
        <v>20</v>
      </c>
      <c r="G74" s="9">
        <f t="shared" si="12"/>
        <v>-1</v>
      </c>
      <c r="H74" s="10">
        <f t="shared" si="13"/>
        <v>-4.7619047619047616E-2</v>
      </c>
      <c r="I74" s="11">
        <v>2410.38</v>
      </c>
      <c r="J74" s="11">
        <v>2295.6</v>
      </c>
      <c r="K74" s="12">
        <f t="shared" si="14"/>
        <v>-114.7800000000002</v>
      </c>
      <c r="L74" s="11">
        <f t="shared" si="15"/>
        <v>114.78</v>
      </c>
      <c r="M74" s="11">
        <f t="shared" si="16"/>
        <v>114.78</v>
      </c>
      <c r="N74" s="25">
        <f t="shared" si="17"/>
        <v>0</v>
      </c>
    </row>
    <row r="75" spans="1:14" ht="32.1" customHeight="1">
      <c r="A75" s="22" t="s">
        <v>15</v>
      </c>
      <c r="B75" s="23" t="s">
        <v>71</v>
      </c>
      <c r="C75" s="24">
        <v>8082</v>
      </c>
      <c r="D75" s="23" t="s">
        <v>91</v>
      </c>
      <c r="E75" s="8">
        <v>1</v>
      </c>
      <c r="F75" s="8">
        <v>0</v>
      </c>
      <c r="G75" s="9">
        <f t="shared" si="12"/>
        <v>-1</v>
      </c>
      <c r="H75" s="10">
        <f t="shared" si="13"/>
        <v>-1</v>
      </c>
      <c r="I75" s="11">
        <v>5000</v>
      </c>
      <c r="J75" s="11">
        <v>0</v>
      </c>
      <c r="K75" s="12">
        <f t="shared" si="14"/>
        <v>-5000</v>
      </c>
      <c r="L75" s="11">
        <f t="shared" si="15"/>
        <v>5000</v>
      </c>
      <c r="M75" s="11" t="str">
        <f t="shared" si="16"/>
        <v/>
      </c>
      <c r="N75" s="25" t="str">
        <f t="shared" si="17"/>
        <v/>
      </c>
    </row>
    <row r="76" spans="1:14" ht="32.1" customHeight="1">
      <c r="A76" s="22" t="s">
        <v>15</v>
      </c>
      <c r="B76" s="23" t="s">
        <v>71</v>
      </c>
      <c r="C76" s="24">
        <v>8083</v>
      </c>
      <c r="D76" s="23" t="s">
        <v>97</v>
      </c>
      <c r="E76" s="8">
        <v>2</v>
      </c>
      <c r="F76" s="8">
        <v>0</v>
      </c>
      <c r="G76" s="9">
        <f t="shared" si="12"/>
        <v>-2</v>
      </c>
      <c r="H76" s="10">
        <f t="shared" si="13"/>
        <v>-1</v>
      </c>
      <c r="I76" s="11">
        <v>10000</v>
      </c>
      <c r="J76" s="11">
        <v>0</v>
      </c>
      <c r="K76" s="12">
        <f t="shared" si="14"/>
        <v>-10000</v>
      </c>
      <c r="L76" s="11">
        <f t="shared" si="15"/>
        <v>5000</v>
      </c>
      <c r="M76" s="11" t="str">
        <f t="shared" si="16"/>
        <v/>
      </c>
      <c r="N76" s="25" t="str">
        <f t="shared" si="17"/>
        <v/>
      </c>
    </row>
    <row r="77" spans="1:14" ht="32.1" customHeight="1">
      <c r="A77" s="22" t="s">
        <v>15</v>
      </c>
      <c r="B77" s="23" t="s">
        <v>75</v>
      </c>
      <c r="C77" s="24">
        <v>22111</v>
      </c>
      <c r="D77" s="23" t="s">
        <v>102</v>
      </c>
      <c r="E77" s="8">
        <v>2</v>
      </c>
      <c r="F77" s="8">
        <v>0</v>
      </c>
      <c r="G77" s="9">
        <f t="shared" si="12"/>
        <v>-2</v>
      </c>
      <c r="H77" s="10">
        <f t="shared" si="13"/>
        <v>-1</v>
      </c>
      <c r="I77" s="11">
        <v>8.98</v>
      </c>
      <c r="J77" s="11">
        <v>0</v>
      </c>
      <c r="K77" s="12">
        <f t="shared" si="14"/>
        <v>-8.98</v>
      </c>
      <c r="L77" s="11">
        <f t="shared" si="15"/>
        <v>4.49</v>
      </c>
      <c r="M77" s="11" t="str">
        <f t="shared" si="16"/>
        <v/>
      </c>
      <c r="N77" s="25" t="str">
        <f t="shared" si="17"/>
        <v/>
      </c>
    </row>
    <row r="78" spans="1:14" ht="32.1" customHeight="1">
      <c r="A78" s="22" t="s">
        <v>15</v>
      </c>
      <c r="B78" s="23" t="s">
        <v>75</v>
      </c>
      <c r="C78" s="24">
        <v>22511</v>
      </c>
      <c r="D78" s="23" t="s">
        <v>83</v>
      </c>
      <c r="E78" s="8">
        <v>12</v>
      </c>
      <c r="F78" s="8">
        <v>10</v>
      </c>
      <c r="G78" s="9">
        <f t="shared" si="12"/>
        <v>-2</v>
      </c>
      <c r="H78" s="10">
        <f t="shared" si="13"/>
        <v>-0.16666666666666666</v>
      </c>
      <c r="I78" s="11">
        <v>5989.2</v>
      </c>
      <c r="J78" s="11">
        <v>4991</v>
      </c>
      <c r="K78" s="12">
        <f t="shared" si="14"/>
        <v>-998.19999999999982</v>
      </c>
      <c r="L78" s="11">
        <f t="shared" si="15"/>
        <v>499.09999999999997</v>
      </c>
      <c r="M78" s="11">
        <f t="shared" si="16"/>
        <v>499.1</v>
      </c>
      <c r="N78" s="25">
        <f t="shared" si="17"/>
        <v>5.6843418860808015E-14</v>
      </c>
    </row>
    <row r="79" spans="1:14" ht="32.1" customHeight="1">
      <c r="A79" s="22" t="s">
        <v>15</v>
      </c>
      <c r="B79" s="23" t="s">
        <v>71</v>
      </c>
      <c r="C79" s="24">
        <v>51454</v>
      </c>
      <c r="D79" s="23" t="s">
        <v>88</v>
      </c>
      <c r="E79" s="8">
        <v>5</v>
      </c>
      <c r="F79" s="8">
        <v>3</v>
      </c>
      <c r="G79" s="9">
        <f t="shared" si="12"/>
        <v>-2</v>
      </c>
      <c r="H79" s="10">
        <f t="shared" si="13"/>
        <v>-0.4</v>
      </c>
      <c r="I79" s="11">
        <v>25000</v>
      </c>
      <c r="J79" s="11">
        <v>15000</v>
      </c>
      <c r="K79" s="12">
        <f t="shared" si="14"/>
        <v>-10000</v>
      </c>
      <c r="L79" s="11">
        <f t="shared" si="15"/>
        <v>5000</v>
      </c>
      <c r="M79" s="11">
        <f t="shared" si="16"/>
        <v>5000</v>
      </c>
      <c r="N79" s="25">
        <f t="shared" si="17"/>
        <v>0</v>
      </c>
    </row>
    <row r="80" spans="1:14" ht="32.1" customHeight="1">
      <c r="A80" s="22" t="s">
        <v>15</v>
      </c>
      <c r="B80" s="23" t="s">
        <v>73</v>
      </c>
      <c r="C80" s="24">
        <v>1447</v>
      </c>
      <c r="D80" s="23" t="s">
        <v>95</v>
      </c>
      <c r="E80" s="8">
        <v>16</v>
      </c>
      <c r="F80" s="8">
        <v>11</v>
      </c>
      <c r="G80" s="9">
        <f t="shared" si="12"/>
        <v>-5</v>
      </c>
      <c r="H80" s="10">
        <f t="shared" si="13"/>
        <v>-0.3125</v>
      </c>
      <c r="I80" s="11">
        <v>2056.96</v>
      </c>
      <c r="J80" s="11">
        <v>1414.16</v>
      </c>
      <c r="K80" s="12">
        <f t="shared" si="14"/>
        <v>-642.79999999999995</v>
      </c>
      <c r="L80" s="11">
        <f t="shared" si="15"/>
        <v>128.56</v>
      </c>
      <c r="M80" s="11">
        <f t="shared" si="16"/>
        <v>128.56</v>
      </c>
      <c r="N80" s="25">
        <f t="shared" si="17"/>
        <v>0</v>
      </c>
    </row>
    <row r="81" spans="1:14" ht="32.1" customHeight="1">
      <c r="A81" s="22" t="s">
        <v>15</v>
      </c>
      <c r="B81" s="23" t="s">
        <v>71</v>
      </c>
      <c r="C81" s="24">
        <v>8039</v>
      </c>
      <c r="D81" s="23" t="s">
        <v>94</v>
      </c>
      <c r="E81" s="8">
        <v>13</v>
      </c>
      <c r="F81" s="8">
        <v>8</v>
      </c>
      <c r="G81" s="9">
        <f t="shared" si="12"/>
        <v>-5</v>
      </c>
      <c r="H81" s="10">
        <f t="shared" si="13"/>
        <v>-0.38461538461538464</v>
      </c>
      <c r="I81" s="11">
        <v>5771.09</v>
      </c>
      <c r="J81" s="11">
        <v>3551.44</v>
      </c>
      <c r="K81" s="12">
        <f t="shared" si="14"/>
        <v>-2219.65</v>
      </c>
      <c r="L81" s="11">
        <f t="shared" si="15"/>
        <v>443.93</v>
      </c>
      <c r="M81" s="11">
        <f t="shared" si="16"/>
        <v>443.93</v>
      </c>
      <c r="N81" s="25">
        <f t="shared" si="17"/>
        <v>0</v>
      </c>
    </row>
    <row r="82" spans="1:14" ht="32.1" customHeight="1">
      <c r="A82" s="22" t="s">
        <v>15</v>
      </c>
      <c r="B82" s="23" t="s">
        <v>71</v>
      </c>
      <c r="C82" s="24">
        <v>8044</v>
      </c>
      <c r="D82" s="23" t="s">
        <v>85</v>
      </c>
      <c r="E82" s="8">
        <v>18</v>
      </c>
      <c r="F82" s="8">
        <v>8</v>
      </c>
      <c r="G82" s="9">
        <f t="shared" si="12"/>
        <v>-10</v>
      </c>
      <c r="H82" s="10">
        <f t="shared" si="13"/>
        <v>-0.55555555555555558</v>
      </c>
      <c r="I82" s="11">
        <v>46563.3</v>
      </c>
      <c r="J82" s="11">
        <v>20694.8</v>
      </c>
      <c r="K82" s="12">
        <f t="shared" si="14"/>
        <v>-25868.500000000004</v>
      </c>
      <c r="L82" s="11">
        <f t="shared" si="15"/>
        <v>2586.8500000000004</v>
      </c>
      <c r="M82" s="11">
        <f t="shared" si="16"/>
        <v>2586.85</v>
      </c>
      <c r="N82" s="25">
        <f t="shared" si="17"/>
        <v>-4.5474735088646412E-13</v>
      </c>
    </row>
    <row r="83" spans="1:14" ht="32.1" customHeight="1">
      <c r="A83" s="22" t="s">
        <v>15</v>
      </c>
      <c r="B83" s="23" t="s">
        <v>70</v>
      </c>
      <c r="C83" s="24">
        <v>16006</v>
      </c>
      <c r="D83" s="23" t="s">
        <v>86</v>
      </c>
      <c r="E83" s="8">
        <v>12</v>
      </c>
      <c r="F83" s="8">
        <v>1</v>
      </c>
      <c r="G83" s="9">
        <f t="shared" si="12"/>
        <v>-11</v>
      </c>
      <c r="H83" s="10">
        <f t="shared" si="13"/>
        <v>-0.91666666666666663</v>
      </c>
      <c r="I83" s="11">
        <v>1622.88</v>
      </c>
      <c r="J83" s="11">
        <v>135.24</v>
      </c>
      <c r="K83" s="12">
        <f t="shared" si="14"/>
        <v>-1487.64</v>
      </c>
      <c r="L83" s="11">
        <f t="shared" si="15"/>
        <v>135.24</v>
      </c>
      <c r="M83" s="11">
        <f t="shared" si="16"/>
        <v>135.24</v>
      </c>
      <c r="N83" s="25">
        <f t="shared" si="17"/>
        <v>0</v>
      </c>
    </row>
    <row r="84" spans="1:14" ht="32.1" customHeight="1">
      <c r="A84" s="22" t="s">
        <v>15</v>
      </c>
      <c r="B84" s="23" t="s">
        <v>75</v>
      </c>
      <c r="C84" s="24">
        <v>40052</v>
      </c>
      <c r="D84" s="23" t="s">
        <v>31</v>
      </c>
      <c r="E84" s="8">
        <v>240</v>
      </c>
      <c r="F84" s="8">
        <v>229</v>
      </c>
      <c r="G84" s="9">
        <f t="shared" si="12"/>
        <v>-11</v>
      </c>
      <c r="H84" s="10">
        <f t="shared" si="13"/>
        <v>-4.583333333333333E-2</v>
      </c>
      <c r="I84" s="11">
        <v>34161.599999999999</v>
      </c>
      <c r="J84" s="11">
        <v>32595.86</v>
      </c>
      <c r="K84" s="12">
        <f t="shared" si="14"/>
        <v>-1565.739999999998</v>
      </c>
      <c r="L84" s="11">
        <f t="shared" si="15"/>
        <v>142.34</v>
      </c>
      <c r="M84" s="11">
        <f t="shared" si="16"/>
        <v>142.34</v>
      </c>
      <c r="N84" s="25">
        <f t="shared" si="17"/>
        <v>0</v>
      </c>
    </row>
    <row r="85" spans="1:14" ht="32.1" customHeight="1">
      <c r="A85" s="22" t="s">
        <v>15</v>
      </c>
      <c r="B85" s="23" t="s">
        <v>70</v>
      </c>
      <c r="C85" s="24">
        <v>40115</v>
      </c>
      <c r="D85" s="23" t="s">
        <v>68</v>
      </c>
      <c r="E85" s="8">
        <v>30</v>
      </c>
      <c r="F85" s="8">
        <v>17</v>
      </c>
      <c r="G85" s="9">
        <f t="shared" si="12"/>
        <v>-13</v>
      </c>
      <c r="H85" s="10">
        <f t="shared" si="13"/>
        <v>-0.43333333333333335</v>
      </c>
      <c r="I85" s="11">
        <v>18550.8</v>
      </c>
      <c r="J85" s="11">
        <v>10512.12</v>
      </c>
      <c r="K85" s="12">
        <f t="shared" si="14"/>
        <v>-8038.6799999999985</v>
      </c>
      <c r="L85" s="11">
        <f t="shared" si="15"/>
        <v>618.36</v>
      </c>
      <c r="M85" s="11">
        <f t="shared" si="16"/>
        <v>618.36</v>
      </c>
      <c r="N85" s="25">
        <f t="shared" si="17"/>
        <v>0</v>
      </c>
    </row>
    <row r="86" spans="1:14" ht="32.1" customHeight="1">
      <c r="A86" s="22" t="s">
        <v>15</v>
      </c>
      <c r="B86" s="23" t="s">
        <v>70</v>
      </c>
      <c r="C86" s="24">
        <v>1982</v>
      </c>
      <c r="D86" s="23" t="s">
        <v>100</v>
      </c>
      <c r="E86" s="8">
        <v>23</v>
      </c>
      <c r="F86" s="8">
        <v>8</v>
      </c>
      <c r="G86" s="9">
        <f t="shared" si="12"/>
        <v>-15</v>
      </c>
      <c r="H86" s="10">
        <f t="shared" si="13"/>
        <v>-0.65217391304347827</v>
      </c>
      <c r="I86" s="11">
        <v>18023.259999999998</v>
      </c>
      <c r="J86" s="11">
        <v>6268.96</v>
      </c>
      <c r="K86" s="12">
        <f t="shared" si="14"/>
        <v>-11754.3</v>
      </c>
      <c r="L86" s="11">
        <f t="shared" si="15"/>
        <v>783.61999999999989</v>
      </c>
      <c r="M86" s="11">
        <f t="shared" si="16"/>
        <v>783.62</v>
      </c>
      <c r="N86" s="25">
        <f t="shared" si="17"/>
        <v>1.1368683772161603E-13</v>
      </c>
    </row>
    <row r="87" spans="1:14" ht="32.1" customHeight="1">
      <c r="A87" s="22" t="s">
        <v>15</v>
      </c>
      <c r="B87" s="23" t="s">
        <v>70</v>
      </c>
      <c r="C87" s="24">
        <v>40023</v>
      </c>
      <c r="D87" s="23" t="s">
        <v>67</v>
      </c>
      <c r="E87" s="8">
        <v>75</v>
      </c>
      <c r="F87" s="8">
        <v>58</v>
      </c>
      <c r="G87" s="9">
        <f t="shared" si="12"/>
        <v>-17</v>
      </c>
      <c r="H87" s="10">
        <f t="shared" si="13"/>
        <v>-0.22666666666666666</v>
      </c>
      <c r="I87" s="11">
        <v>23331.75</v>
      </c>
      <c r="J87" s="11">
        <v>18043.22</v>
      </c>
      <c r="K87" s="12">
        <f t="shared" si="14"/>
        <v>-5288.5299999999988</v>
      </c>
      <c r="L87" s="11">
        <f t="shared" si="15"/>
        <v>311.08999999999997</v>
      </c>
      <c r="M87" s="11">
        <f t="shared" si="16"/>
        <v>311.09000000000003</v>
      </c>
      <c r="N87" s="25">
        <f t="shared" si="17"/>
        <v>5.6843418860808015E-14</v>
      </c>
    </row>
    <row r="88" spans="1:14" ht="32.1" customHeight="1">
      <c r="A88" s="22" t="s">
        <v>15</v>
      </c>
      <c r="B88" s="23" t="s">
        <v>70</v>
      </c>
      <c r="C88" s="24">
        <v>40022</v>
      </c>
      <c r="D88" s="23" t="s">
        <v>87</v>
      </c>
      <c r="E88" s="8">
        <v>73</v>
      </c>
      <c r="F88" s="8">
        <v>52</v>
      </c>
      <c r="G88" s="9">
        <f t="shared" si="12"/>
        <v>-21</v>
      </c>
      <c r="H88" s="10">
        <f t="shared" si="13"/>
        <v>-0.28767123287671231</v>
      </c>
      <c r="I88" s="11">
        <v>17469.63</v>
      </c>
      <c r="J88" s="11">
        <v>12444.12</v>
      </c>
      <c r="K88" s="12">
        <f t="shared" si="14"/>
        <v>-5025.51</v>
      </c>
      <c r="L88" s="11">
        <f t="shared" si="15"/>
        <v>239.31</v>
      </c>
      <c r="M88" s="11">
        <f t="shared" si="16"/>
        <v>239.31</v>
      </c>
      <c r="N88" s="25">
        <f t="shared" si="17"/>
        <v>0</v>
      </c>
    </row>
    <row r="89" spans="1:14" ht="32.1" customHeight="1">
      <c r="A89" s="22" t="s">
        <v>15</v>
      </c>
      <c r="B89" s="23" t="s">
        <v>73</v>
      </c>
      <c r="C89" s="24">
        <v>1849</v>
      </c>
      <c r="D89" s="23" t="s">
        <v>36</v>
      </c>
      <c r="E89" s="8">
        <v>106</v>
      </c>
      <c r="F89" s="8">
        <v>83</v>
      </c>
      <c r="G89" s="9">
        <f t="shared" si="12"/>
        <v>-23</v>
      </c>
      <c r="H89" s="10">
        <f t="shared" si="13"/>
        <v>-0.21698113207547171</v>
      </c>
      <c r="I89" s="11">
        <v>11927.12</v>
      </c>
      <c r="J89" s="11">
        <v>9339.16</v>
      </c>
      <c r="K89" s="12">
        <f t="shared" si="14"/>
        <v>-2587.9600000000009</v>
      </c>
      <c r="L89" s="11">
        <f t="shared" si="15"/>
        <v>112.52000000000001</v>
      </c>
      <c r="M89" s="11">
        <f t="shared" si="16"/>
        <v>112.52</v>
      </c>
      <c r="N89" s="25">
        <f t="shared" si="17"/>
        <v>-1.4210854715202004E-14</v>
      </c>
    </row>
    <row r="90" spans="1:14" ht="32.1" customHeight="1">
      <c r="A90" s="22" t="s">
        <v>15</v>
      </c>
      <c r="B90" s="23" t="s">
        <v>70</v>
      </c>
      <c r="C90" s="24">
        <v>40092</v>
      </c>
      <c r="D90" s="23" t="s">
        <v>66</v>
      </c>
      <c r="E90" s="8">
        <v>63</v>
      </c>
      <c r="F90" s="8">
        <v>39</v>
      </c>
      <c r="G90" s="9">
        <f t="shared" si="12"/>
        <v>-24</v>
      </c>
      <c r="H90" s="10">
        <f t="shared" si="13"/>
        <v>-0.38095238095238093</v>
      </c>
      <c r="I90" s="11">
        <v>30335.13</v>
      </c>
      <c r="J90" s="11">
        <v>18778.89</v>
      </c>
      <c r="K90" s="12">
        <f t="shared" si="14"/>
        <v>-11556.240000000002</v>
      </c>
      <c r="L90" s="11">
        <f t="shared" si="15"/>
        <v>481.51</v>
      </c>
      <c r="M90" s="11">
        <f t="shared" si="16"/>
        <v>481.51</v>
      </c>
      <c r="N90" s="25">
        <f t="shared" si="17"/>
        <v>0</v>
      </c>
    </row>
    <row r="91" spans="1:14" ht="32.1" customHeight="1">
      <c r="A91" s="22" t="s">
        <v>15</v>
      </c>
      <c r="B91" s="23" t="s">
        <v>75</v>
      </c>
      <c r="C91" s="24">
        <v>40095</v>
      </c>
      <c r="D91" s="23" t="s">
        <v>33</v>
      </c>
      <c r="E91" s="8">
        <v>114</v>
      </c>
      <c r="F91" s="8">
        <v>77</v>
      </c>
      <c r="G91" s="9">
        <f t="shared" si="12"/>
        <v>-37</v>
      </c>
      <c r="H91" s="10">
        <f t="shared" si="13"/>
        <v>-0.32456140350877194</v>
      </c>
      <c r="I91" s="11">
        <v>80657.279999999999</v>
      </c>
      <c r="J91" s="11">
        <v>54479.040000000001</v>
      </c>
      <c r="K91" s="12">
        <f t="shared" si="14"/>
        <v>-26178.239999999998</v>
      </c>
      <c r="L91" s="11">
        <f t="shared" si="15"/>
        <v>707.52</v>
      </c>
      <c r="M91" s="11">
        <f t="shared" si="16"/>
        <v>707.52</v>
      </c>
      <c r="N91" s="25">
        <f t="shared" si="17"/>
        <v>0</v>
      </c>
    </row>
    <row r="92" spans="1:14" ht="32.1" customHeight="1">
      <c r="A92" s="22" t="s">
        <v>15</v>
      </c>
      <c r="B92" s="23" t="s">
        <v>70</v>
      </c>
      <c r="C92" s="24">
        <v>1980</v>
      </c>
      <c r="D92" s="23" t="s">
        <v>90</v>
      </c>
      <c r="E92" s="8">
        <v>75</v>
      </c>
      <c r="F92" s="8">
        <v>37</v>
      </c>
      <c r="G92" s="9">
        <f t="shared" si="12"/>
        <v>-38</v>
      </c>
      <c r="H92" s="10">
        <f t="shared" si="13"/>
        <v>-0.50666666666666671</v>
      </c>
      <c r="I92" s="11">
        <v>116589.75</v>
      </c>
      <c r="J92" s="11">
        <v>57517.61</v>
      </c>
      <c r="K92" s="12">
        <f t="shared" si="14"/>
        <v>-59072.14</v>
      </c>
      <c r="L92" s="11">
        <f t="shared" si="15"/>
        <v>1554.53</v>
      </c>
      <c r="M92" s="11">
        <f t="shared" si="16"/>
        <v>1554.53</v>
      </c>
      <c r="N92" s="25">
        <f t="shared" si="17"/>
        <v>0</v>
      </c>
    </row>
    <row r="93" spans="1:14" ht="32.1" customHeight="1">
      <c r="A93" s="22" t="s">
        <v>15</v>
      </c>
      <c r="B93" s="23" t="s">
        <v>74</v>
      </c>
      <c r="C93" s="24">
        <v>1983</v>
      </c>
      <c r="D93" s="23" t="s">
        <v>63</v>
      </c>
      <c r="E93" s="8">
        <v>125</v>
      </c>
      <c r="F93" s="8">
        <v>80</v>
      </c>
      <c r="G93" s="9">
        <f t="shared" si="12"/>
        <v>-45</v>
      </c>
      <c r="H93" s="10">
        <f t="shared" si="13"/>
        <v>-0.36</v>
      </c>
      <c r="I93" s="11">
        <v>430800</v>
      </c>
      <c r="J93" s="11">
        <v>275712</v>
      </c>
      <c r="K93" s="12">
        <f t="shared" si="14"/>
        <v>-155088</v>
      </c>
      <c r="L93" s="11">
        <f t="shared" si="15"/>
        <v>3446.4</v>
      </c>
      <c r="M93" s="11">
        <f t="shared" si="16"/>
        <v>3446.4</v>
      </c>
      <c r="N93" s="25">
        <f t="shared" si="17"/>
        <v>0</v>
      </c>
    </row>
    <row r="94" spans="1:14" ht="32.1" customHeight="1">
      <c r="A94" s="22" t="s">
        <v>15</v>
      </c>
      <c r="B94" s="23" t="s">
        <v>75</v>
      </c>
      <c r="C94" s="24">
        <v>40021</v>
      </c>
      <c r="D94" s="23" t="s">
        <v>27</v>
      </c>
      <c r="E94" s="8">
        <v>695</v>
      </c>
      <c r="F94" s="8">
        <v>644</v>
      </c>
      <c r="G94" s="9">
        <f t="shared" si="12"/>
        <v>-51</v>
      </c>
      <c r="H94" s="10">
        <f t="shared" si="13"/>
        <v>-7.3381294964028773E-2</v>
      </c>
      <c r="I94" s="11">
        <v>175696</v>
      </c>
      <c r="J94" s="11">
        <v>162803.20000000001</v>
      </c>
      <c r="K94" s="12">
        <f t="shared" si="14"/>
        <v>-12892.799999999988</v>
      </c>
      <c r="L94" s="11">
        <f t="shared" si="15"/>
        <v>252.8</v>
      </c>
      <c r="M94" s="11">
        <f t="shared" si="16"/>
        <v>252.8</v>
      </c>
      <c r="N94" s="25">
        <f t="shared" si="17"/>
        <v>0</v>
      </c>
    </row>
    <row r="95" spans="1:14" ht="32.1" customHeight="1">
      <c r="A95" s="22" t="s">
        <v>15</v>
      </c>
      <c r="B95" s="23" t="s">
        <v>72</v>
      </c>
      <c r="C95" s="24">
        <v>2014</v>
      </c>
      <c r="D95" s="23" t="s">
        <v>81</v>
      </c>
      <c r="E95" s="8">
        <v>243</v>
      </c>
      <c r="F95" s="8">
        <v>188</v>
      </c>
      <c r="G95" s="9">
        <f t="shared" si="12"/>
        <v>-55</v>
      </c>
      <c r="H95" s="10">
        <f t="shared" si="13"/>
        <v>-0.22633744855967078</v>
      </c>
      <c r="I95" s="11">
        <v>9294.75</v>
      </c>
      <c r="J95" s="11">
        <v>7191</v>
      </c>
      <c r="K95" s="12">
        <f t="shared" si="14"/>
        <v>-2103.75</v>
      </c>
      <c r="L95" s="11">
        <f t="shared" si="15"/>
        <v>38.25</v>
      </c>
      <c r="M95" s="11">
        <f t="shared" si="16"/>
        <v>38.25</v>
      </c>
      <c r="N95" s="25">
        <f t="shared" si="17"/>
        <v>0</v>
      </c>
    </row>
    <row r="96" spans="1:14" ht="32.1" customHeight="1">
      <c r="A96" s="22" t="s">
        <v>15</v>
      </c>
      <c r="B96" s="23" t="s">
        <v>73</v>
      </c>
      <c r="C96" s="24">
        <v>1015</v>
      </c>
      <c r="D96" s="23" t="s">
        <v>32</v>
      </c>
      <c r="E96" s="8">
        <v>177</v>
      </c>
      <c r="F96" s="8">
        <v>105</v>
      </c>
      <c r="G96" s="9">
        <f t="shared" si="12"/>
        <v>-72</v>
      </c>
      <c r="H96" s="10">
        <f t="shared" si="13"/>
        <v>-0.40677966101694918</v>
      </c>
      <c r="I96" s="11">
        <v>19588.59</v>
      </c>
      <c r="J96" s="11">
        <v>11620.35</v>
      </c>
      <c r="K96" s="12">
        <f t="shared" si="14"/>
        <v>-7968.24</v>
      </c>
      <c r="L96" s="11">
        <f t="shared" si="15"/>
        <v>110.67</v>
      </c>
      <c r="M96" s="11">
        <f t="shared" si="16"/>
        <v>110.67</v>
      </c>
      <c r="N96" s="25">
        <f t="shared" si="17"/>
        <v>0</v>
      </c>
    </row>
    <row r="97" spans="1:14" ht="32.1" customHeight="1">
      <c r="A97" s="22" t="s">
        <v>15</v>
      </c>
      <c r="B97" s="23" t="s">
        <v>75</v>
      </c>
      <c r="C97" s="24">
        <v>22100</v>
      </c>
      <c r="D97" s="23" t="s">
        <v>80</v>
      </c>
      <c r="E97" s="8">
        <v>208</v>
      </c>
      <c r="F97" s="8">
        <v>125</v>
      </c>
      <c r="G97" s="9">
        <f t="shared" si="12"/>
        <v>-83</v>
      </c>
      <c r="H97" s="10">
        <f t="shared" si="13"/>
        <v>-0.39903846153846156</v>
      </c>
      <c r="I97" s="11">
        <v>24928.799999999999</v>
      </c>
      <c r="J97" s="11">
        <v>14981.25</v>
      </c>
      <c r="K97" s="12">
        <f t="shared" si="14"/>
        <v>-9947.5499999999993</v>
      </c>
      <c r="L97" s="11">
        <f t="shared" si="15"/>
        <v>119.85</v>
      </c>
      <c r="M97" s="11">
        <f t="shared" si="16"/>
        <v>119.85</v>
      </c>
      <c r="N97" s="25">
        <f t="shared" si="17"/>
        <v>0</v>
      </c>
    </row>
    <row r="98" spans="1:14" ht="32.1" customHeight="1">
      <c r="A98" s="22" t="s">
        <v>15</v>
      </c>
      <c r="B98" s="23" t="s">
        <v>74</v>
      </c>
      <c r="C98" s="24">
        <v>1984</v>
      </c>
      <c r="D98" s="23" t="s">
        <v>51</v>
      </c>
      <c r="E98" s="8">
        <v>320</v>
      </c>
      <c r="F98" s="8">
        <v>218</v>
      </c>
      <c r="G98" s="9">
        <f t="shared" si="12"/>
        <v>-102</v>
      </c>
      <c r="H98" s="10">
        <f t="shared" si="13"/>
        <v>-0.31874999999999998</v>
      </c>
      <c r="I98" s="11">
        <v>675142.4</v>
      </c>
      <c r="J98" s="11">
        <v>459940.76</v>
      </c>
      <c r="K98" s="12">
        <f t="shared" si="14"/>
        <v>-215201.64</v>
      </c>
      <c r="L98" s="11">
        <f t="shared" si="15"/>
        <v>2109.8200000000002</v>
      </c>
      <c r="M98" s="11">
        <f t="shared" si="16"/>
        <v>2109.8200000000002</v>
      </c>
      <c r="N98" s="25">
        <f t="shared" si="17"/>
        <v>0</v>
      </c>
    </row>
    <row r="99" spans="1:14" ht="32.1" customHeight="1">
      <c r="A99" s="22" t="s">
        <v>15</v>
      </c>
      <c r="B99" s="23" t="s">
        <v>70</v>
      </c>
      <c r="C99" s="24">
        <v>22722</v>
      </c>
      <c r="D99" s="23" t="s">
        <v>28</v>
      </c>
      <c r="E99" s="8">
        <v>217</v>
      </c>
      <c r="F99" s="8">
        <v>97</v>
      </c>
      <c r="G99" s="9">
        <f t="shared" si="12"/>
        <v>-120</v>
      </c>
      <c r="H99" s="10">
        <f t="shared" si="13"/>
        <v>-0.55299539170506917</v>
      </c>
      <c r="I99" s="11">
        <v>113015.77</v>
      </c>
      <c r="J99" s="11">
        <v>50518.57</v>
      </c>
      <c r="K99" s="12">
        <f t="shared" si="14"/>
        <v>-62497.200000000004</v>
      </c>
      <c r="L99" s="11">
        <f t="shared" si="15"/>
        <v>520.81000000000006</v>
      </c>
      <c r="M99" s="11">
        <f t="shared" si="16"/>
        <v>520.80999999999995</v>
      </c>
      <c r="N99" s="25">
        <f t="shared" si="17"/>
        <v>-1.1368683772161603E-13</v>
      </c>
    </row>
    <row r="100" spans="1:14" ht="32.1" customHeight="1">
      <c r="A100" s="22" t="s">
        <v>15</v>
      </c>
      <c r="B100" s="23" t="s">
        <v>70</v>
      </c>
      <c r="C100" s="24">
        <v>22721</v>
      </c>
      <c r="D100" s="23" t="s">
        <v>50</v>
      </c>
      <c r="E100" s="8">
        <v>449</v>
      </c>
      <c r="F100" s="8">
        <v>269</v>
      </c>
      <c r="G100" s="9">
        <f t="shared" si="12"/>
        <v>-180</v>
      </c>
      <c r="H100" s="10">
        <f t="shared" si="13"/>
        <v>-0.40089086859688194</v>
      </c>
      <c r="I100" s="11">
        <v>193572.88</v>
      </c>
      <c r="J100" s="11">
        <v>115971.28</v>
      </c>
      <c r="K100" s="12">
        <f t="shared" si="14"/>
        <v>-77601.600000000006</v>
      </c>
      <c r="L100" s="11">
        <f t="shared" si="15"/>
        <v>431.12</v>
      </c>
      <c r="M100" s="11">
        <f t="shared" si="16"/>
        <v>431.12</v>
      </c>
      <c r="N100" s="25">
        <f t="shared" si="17"/>
        <v>0</v>
      </c>
    </row>
    <row r="101" spans="1:14" ht="32.1" customHeight="1">
      <c r="A101" s="22" t="s">
        <v>15</v>
      </c>
      <c r="B101" s="23" t="s">
        <v>72</v>
      </c>
      <c r="C101" s="24">
        <v>2013</v>
      </c>
      <c r="D101" s="23" t="s">
        <v>61</v>
      </c>
      <c r="E101" s="8">
        <v>535</v>
      </c>
      <c r="F101" s="8">
        <v>336</v>
      </c>
      <c r="G101" s="9">
        <f t="shared" si="12"/>
        <v>-199</v>
      </c>
      <c r="H101" s="10">
        <f t="shared" si="13"/>
        <v>-0.37196261682242993</v>
      </c>
      <c r="I101" s="11">
        <v>96604.95</v>
      </c>
      <c r="J101" s="11">
        <v>60671.519999999997</v>
      </c>
      <c r="K101" s="12">
        <f t="shared" si="14"/>
        <v>-35933.43</v>
      </c>
      <c r="L101" s="11">
        <f t="shared" si="15"/>
        <v>180.57</v>
      </c>
      <c r="M101" s="11">
        <f t="shared" si="16"/>
        <v>180.57</v>
      </c>
      <c r="N101" s="25">
        <f t="shared" si="17"/>
        <v>0</v>
      </c>
    </row>
    <row r="102" spans="1:14" ht="32.1" customHeight="1">
      <c r="A102" s="22" t="s">
        <v>15</v>
      </c>
      <c r="B102" s="23" t="s">
        <v>70</v>
      </c>
      <c r="C102" s="24">
        <v>1981</v>
      </c>
      <c r="D102" s="23" t="s">
        <v>26</v>
      </c>
      <c r="E102" s="8">
        <v>560</v>
      </c>
      <c r="F102" s="8">
        <v>304</v>
      </c>
      <c r="G102" s="9">
        <f t="shared" ref="G102:G133" si="18">F102-E102</f>
        <v>-256</v>
      </c>
      <c r="H102" s="10">
        <f t="shared" ref="H102:H133" si="19">IF(E102=0,"",G102/E102)</f>
        <v>-0.45714285714285713</v>
      </c>
      <c r="I102" s="11">
        <v>505881.59999999998</v>
      </c>
      <c r="J102" s="11">
        <v>274621.44</v>
      </c>
      <c r="K102" s="12">
        <f t="shared" ref="K102:K133" si="20">J102-I102</f>
        <v>-231260.15999999997</v>
      </c>
      <c r="L102" s="11">
        <f t="shared" ref="L102:L133" si="21">IF(E102=0,"",I102/E102)</f>
        <v>903.36</v>
      </c>
      <c r="M102" s="11">
        <f t="shared" ref="M102:M133" si="22">IF(F102=0,"",J102/F102)</f>
        <v>903.36</v>
      </c>
      <c r="N102" s="25">
        <f t="shared" ref="N102:N133" si="23">IF(OR(L102="",M102=""),"",M102-L102)</f>
        <v>0</v>
      </c>
    </row>
    <row r="103" spans="1:14" ht="32.1" customHeight="1">
      <c r="A103" s="22" t="s">
        <v>15</v>
      </c>
      <c r="B103" s="23" t="s">
        <v>72</v>
      </c>
      <c r="C103" s="24">
        <v>2004</v>
      </c>
      <c r="D103" s="23" t="s">
        <v>34</v>
      </c>
      <c r="E103" s="8">
        <v>1037</v>
      </c>
      <c r="F103" s="8">
        <v>760</v>
      </c>
      <c r="G103" s="9">
        <f t="shared" si="18"/>
        <v>-277</v>
      </c>
      <c r="H103" s="10">
        <f t="shared" si="19"/>
        <v>-0.26711668273866923</v>
      </c>
      <c r="I103" s="11">
        <v>63588.84</v>
      </c>
      <c r="J103" s="11">
        <v>46603.199999999997</v>
      </c>
      <c r="K103" s="12">
        <f t="shared" si="20"/>
        <v>-16985.64</v>
      </c>
      <c r="L103" s="11">
        <f t="shared" si="21"/>
        <v>61.319999999999993</v>
      </c>
      <c r="M103" s="11">
        <f t="shared" si="22"/>
        <v>61.319999999999993</v>
      </c>
      <c r="N103" s="25">
        <f t="shared" si="23"/>
        <v>0</v>
      </c>
    </row>
    <row r="104" spans="1:14" ht="32.1" customHeight="1">
      <c r="A104" s="22" t="s">
        <v>15</v>
      </c>
      <c r="B104" s="23" t="s">
        <v>72</v>
      </c>
      <c r="C104" s="24">
        <v>2012</v>
      </c>
      <c r="D104" s="23" t="s">
        <v>49</v>
      </c>
      <c r="E104" s="8">
        <v>907</v>
      </c>
      <c r="F104" s="8">
        <v>560</v>
      </c>
      <c r="G104" s="9">
        <f t="shared" si="18"/>
        <v>-347</v>
      </c>
      <c r="H104" s="10">
        <f t="shared" si="19"/>
        <v>-0.38257993384785005</v>
      </c>
      <c r="I104" s="11">
        <v>163776.99</v>
      </c>
      <c r="J104" s="11">
        <v>101119.2</v>
      </c>
      <c r="K104" s="12">
        <f t="shared" si="20"/>
        <v>-62657.789999999994</v>
      </c>
      <c r="L104" s="11">
        <f t="shared" si="21"/>
        <v>180.57</v>
      </c>
      <c r="M104" s="11">
        <f t="shared" si="22"/>
        <v>180.57</v>
      </c>
      <c r="N104" s="25">
        <f t="shared" si="23"/>
        <v>0</v>
      </c>
    </row>
    <row r="105" spans="1:14" ht="32.1" customHeight="1">
      <c r="A105" s="22" t="s">
        <v>15</v>
      </c>
      <c r="B105" s="23" t="s">
        <v>73</v>
      </c>
      <c r="C105" s="24">
        <v>1441</v>
      </c>
      <c r="D105" s="23" t="s">
        <v>30</v>
      </c>
      <c r="E105" s="8">
        <v>892</v>
      </c>
      <c r="F105" s="8">
        <v>522</v>
      </c>
      <c r="G105" s="9">
        <f t="shared" si="18"/>
        <v>-370</v>
      </c>
      <c r="H105" s="10">
        <f t="shared" si="19"/>
        <v>-0.41479820627802688</v>
      </c>
      <c r="I105" s="11">
        <v>445892.96</v>
      </c>
      <c r="J105" s="11">
        <v>260937.36</v>
      </c>
      <c r="K105" s="12">
        <f t="shared" si="20"/>
        <v>-184955.60000000003</v>
      </c>
      <c r="L105" s="11">
        <f t="shared" si="21"/>
        <v>499.88</v>
      </c>
      <c r="M105" s="11">
        <f t="shared" si="22"/>
        <v>499.88</v>
      </c>
      <c r="N105" s="25">
        <f t="shared" si="23"/>
        <v>0</v>
      </c>
    </row>
    <row r="106" spans="1:14" ht="32.1" customHeight="1">
      <c r="A106" s="22" t="s">
        <v>15</v>
      </c>
      <c r="B106" s="23" t="s">
        <v>73</v>
      </c>
      <c r="C106" s="24">
        <v>1442</v>
      </c>
      <c r="D106" s="23" t="s">
        <v>48</v>
      </c>
      <c r="E106" s="8">
        <v>1412</v>
      </c>
      <c r="F106" s="8">
        <v>843</v>
      </c>
      <c r="G106" s="9">
        <f t="shared" si="18"/>
        <v>-569</v>
      </c>
      <c r="H106" s="10">
        <f t="shared" si="19"/>
        <v>-0.40297450424929177</v>
      </c>
      <c r="I106" s="11">
        <v>620277.48</v>
      </c>
      <c r="J106" s="11">
        <v>370321.47</v>
      </c>
      <c r="K106" s="12">
        <f t="shared" si="20"/>
        <v>-249956.01</v>
      </c>
      <c r="L106" s="11">
        <f t="shared" si="21"/>
        <v>439.28999999999996</v>
      </c>
      <c r="M106" s="11">
        <f t="shared" si="22"/>
        <v>439.28999999999996</v>
      </c>
      <c r="N106" s="25">
        <f t="shared" si="23"/>
        <v>0</v>
      </c>
    </row>
    <row r="107" spans="1:14" ht="32.1" customHeight="1">
      <c r="A107" s="22" t="s">
        <v>16</v>
      </c>
      <c r="B107" s="23" t="s">
        <v>75</v>
      </c>
      <c r="C107" s="24">
        <v>40021</v>
      </c>
      <c r="D107" s="23" t="s">
        <v>27</v>
      </c>
      <c r="E107" s="8">
        <v>495</v>
      </c>
      <c r="F107" s="8">
        <v>716</v>
      </c>
      <c r="G107" s="9">
        <f t="shared" si="18"/>
        <v>221</v>
      </c>
      <c r="H107" s="10">
        <f t="shared" si="19"/>
        <v>0.44646464646464645</v>
      </c>
      <c r="I107" s="11">
        <v>125136</v>
      </c>
      <c r="J107" s="11">
        <v>181004.79999999999</v>
      </c>
      <c r="K107" s="12">
        <f t="shared" si="20"/>
        <v>55868.799999999988</v>
      </c>
      <c r="L107" s="11">
        <f t="shared" si="21"/>
        <v>252.8</v>
      </c>
      <c r="M107" s="11">
        <f t="shared" si="22"/>
        <v>252.79999999999998</v>
      </c>
      <c r="N107" s="25">
        <f t="shared" si="23"/>
        <v>-2.8421709430404007E-14</v>
      </c>
    </row>
    <row r="108" spans="1:14" ht="32.1" customHeight="1">
      <c r="A108" s="22" t="s">
        <v>16</v>
      </c>
      <c r="B108" s="23" t="s">
        <v>75</v>
      </c>
      <c r="C108" s="24">
        <v>40095</v>
      </c>
      <c r="D108" s="23" t="s">
        <v>33</v>
      </c>
      <c r="E108" s="8">
        <v>133</v>
      </c>
      <c r="F108" s="8">
        <v>279</v>
      </c>
      <c r="G108" s="9">
        <f t="shared" si="18"/>
        <v>146</v>
      </c>
      <c r="H108" s="10">
        <f t="shared" si="19"/>
        <v>1.0977443609022557</v>
      </c>
      <c r="I108" s="11">
        <v>94100.160000000003</v>
      </c>
      <c r="J108" s="11">
        <v>197398.08</v>
      </c>
      <c r="K108" s="12">
        <f t="shared" si="20"/>
        <v>103297.91999999998</v>
      </c>
      <c r="L108" s="11">
        <f t="shared" si="21"/>
        <v>707.52</v>
      </c>
      <c r="M108" s="11">
        <f t="shared" si="22"/>
        <v>707.52</v>
      </c>
      <c r="N108" s="25">
        <f t="shared" si="23"/>
        <v>0</v>
      </c>
    </row>
    <row r="109" spans="1:14" ht="32.1" customHeight="1">
      <c r="A109" s="22" t="s">
        <v>16</v>
      </c>
      <c r="B109" s="23" t="s">
        <v>75</v>
      </c>
      <c r="C109" s="24">
        <v>40052</v>
      </c>
      <c r="D109" s="23" t="s">
        <v>31</v>
      </c>
      <c r="E109" s="8">
        <v>177</v>
      </c>
      <c r="F109" s="8">
        <v>312</v>
      </c>
      <c r="G109" s="9">
        <f t="shared" si="18"/>
        <v>135</v>
      </c>
      <c r="H109" s="10">
        <f t="shared" si="19"/>
        <v>0.76271186440677963</v>
      </c>
      <c r="I109" s="11">
        <v>25194.18</v>
      </c>
      <c r="J109" s="11">
        <v>44410.080000000002</v>
      </c>
      <c r="K109" s="12">
        <f t="shared" si="20"/>
        <v>19215.900000000001</v>
      </c>
      <c r="L109" s="11">
        <f t="shared" si="21"/>
        <v>142.34</v>
      </c>
      <c r="M109" s="11">
        <f t="shared" si="22"/>
        <v>142.34</v>
      </c>
      <c r="N109" s="25">
        <f t="shared" si="23"/>
        <v>0</v>
      </c>
    </row>
    <row r="110" spans="1:14" ht="32.1" customHeight="1">
      <c r="A110" s="22" t="s">
        <v>16</v>
      </c>
      <c r="B110" s="23" t="s">
        <v>75</v>
      </c>
      <c r="C110" s="24">
        <v>40054</v>
      </c>
      <c r="D110" s="23" t="s">
        <v>29</v>
      </c>
      <c r="E110" s="8">
        <v>102</v>
      </c>
      <c r="F110" s="8">
        <v>231</v>
      </c>
      <c r="G110" s="9">
        <f t="shared" si="18"/>
        <v>129</v>
      </c>
      <c r="H110" s="10">
        <f t="shared" si="19"/>
        <v>1.2647058823529411</v>
      </c>
      <c r="I110" s="11">
        <v>13693.5</v>
      </c>
      <c r="J110" s="11">
        <v>31011.75</v>
      </c>
      <c r="K110" s="12">
        <f t="shared" si="20"/>
        <v>17318.25</v>
      </c>
      <c r="L110" s="11">
        <f t="shared" si="21"/>
        <v>134.25</v>
      </c>
      <c r="M110" s="11">
        <f t="shared" si="22"/>
        <v>134.25</v>
      </c>
      <c r="N110" s="25">
        <f t="shared" si="23"/>
        <v>0</v>
      </c>
    </row>
    <row r="111" spans="1:14" ht="32.1" customHeight="1">
      <c r="A111" s="22" t="s">
        <v>16</v>
      </c>
      <c r="B111" s="23" t="s">
        <v>75</v>
      </c>
      <c r="C111" s="24">
        <v>40033</v>
      </c>
      <c r="D111" s="23" t="s">
        <v>62</v>
      </c>
      <c r="E111" s="8">
        <v>50</v>
      </c>
      <c r="F111" s="8">
        <v>126</v>
      </c>
      <c r="G111" s="9">
        <f t="shared" si="18"/>
        <v>76</v>
      </c>
      <c r="H111" s="10">
        <f t="shared" si="19"/>
        <v>1.52</v>
      </c>
      <c r="I111" s="11">
        <v>5108.5</v>
      </c>
      <c r="J111" s="11">
        <v>12873.42</v>
      </c>
      <c r="K111" s="12">
        <f t="shared" si="20"/>
        <v>7764.92</v>
      </c>
      <c r="L111" s="11">
        <f t="shared" si="21"/>
        <v>102.17</v>
      </c>
      <c r="M111" s="11">
        <f t="shared" si="22"/>
        <v>102.17</v>
      </c>
      <c r="N111" s="25">
        <f t="shared" si="23"/>
        <v>0</v>
      </c>
    </row>
    <row r="112" spans="1:14" ht="32.1" customHeight="1">
      <c r="A112" s="22" t="s">
        <v>16</v>
      </c>
      <c r="B112" s="23" t="s">
        <v>72</v>
      </c>
      <c r="C112" s="24">
        <v>2012</v>
      </c>
      <c r="D112" s="23" t="s">
        <v>49</v>
      </c>
      <c r="E112" s="8">
        <v>530</v>
      </c>
      <c r="F112" s="8">
        <v>587</v>
      </c>
      <c r="G112" s="9">
        <f t="shared" si="18"/>
        <v>57</v>
      </c>
      <c r="H112" s="10">
        <f t="shared" si="19"/>
        <v>0.10754716981132076</v>
      </c>
      <c r="I112" s="11">
        <v>95702.1</v>
      </c>
      <c r="J112" s="11">
        <v>105994.59</v>
      </c>
      <c r="K112" s="12">
        <f t="shared" si="20"/>
        <v>10292.489999999991</v>
      </c>
      <c r="L112" s="11">
        <f t="shared" si="21"/>
        <v>180.57000000000002</v>
      </c>
      <c r="M112" s="11">
        <f t="shared" si="22"/>
        <v>180.57</v>
      </c>
      <c r="N112" s="25">
        <f t="shared" si="23"/>
        <v>-2.8421709430404007E-14</v>
      </c>
    </row>
    <row r="113" spans="1:14" ht="32.1" customHeight="1">
      <c r="A113" s="22" t="s">
        <v>16</v>
      </c>
      <c r="B113" s="23" t="s">
        <v>75</v>
      </c>
      <c r="C113" s="24">
        <v>40004</v>
      </c>
      <c r="D113" s="23" t="s">
        <v>56</v>
      </c>
      <c r="E113" s="8">
        <v>60</v>
      </c>
      <c r="F113" s="8">
        <v>106</v>
      </c>
      <c r="G113" s="9">
        <f t="shared" si="18"/>
        <v>46</v>
      </c>
      <c r="H113" s="10">
        <f t="shared" si="19"/>
        <v>0.76666666666666672</v>
      </c>
      <c r="I113" s="11">
        <v>8307</v>
      </c>
      <c r="J113" s="11">
        <v>14675.7</v>
      </c>
      <c r="K113" s="12">
        <f t="shared" si="20"/>
        <v>6368.7000000000007</v>
      </c>
      <c r="L113" s="11">
        <f t="shared" si="21"/>
        <v>138.44999999999999</v>
      </c>
      <c r="M113" s="11">
        <f t="shared" si="22"/>
        <v>138.45000000000002</v>
      </c>
      <c r="N113" s="25">
        <f t="shared" si="23"/>
        <v>2.8421709430404007E-14</v>
      </c>
    </row>
    <row r="114" spans="1:14" ht="32.1" customHeight="1">
      <c r="A114" s="22" t="s">
        <v>16</v>
      </c>
      <c r="B114" s="23" t="s">
        <v>73</v>
      </c>
      <c r="C114" s="24">
        <v>1441</v>
      </c>
      <c r="D114" s="23" t="s">
        <v>30</v>
      </c>
      <c r="E114" s="8">
        <v>519</v>
      </c>
      <c r="F114" s="8">
        <v>561</v>
      </c>
      <c r="G114" s="9">
        <f t="shared" si="18"/>
        <v>42</v>
      </c>
      <c r="H114" s="10">
        <f t="shared" si="19"/>
        <v>8.0924855491329481E-2</v>
      </c>
      <c r="I114" s="11">
        <v>259437.72</v>
      </c>
      <c r="J114" s="11">
        <v>280432.68</v>
      </c>
      <c r="K114" s="12">
        <f t="shared" si="20"/>
        <v>20994.959999999992</v>
      </c>
      <c r="L114" s="11">
        <f t="shared" si="21"/>
        <v>499.88</v>
      </c>
      <c r="M114" s="11">
        <f t="shared" si="22"/>
        <v>499.88</v>
      </c>
      <c r="N114" s="25">
        <f t="shared" si="23"/>
        <v>0</v>
      </c>
    </row>
    <row r="115" spans="1:14" ht="32.1" customHeight="1">
      <c r="A115" s="22" t="s">
        <v>16</v>
      </c>
      <c r="B115" s="23" t="s">
        <v>72</v>
      </c>
      <c r="C115" s="24">
        <v>2004</v>
      </c>
      <c r="D115" s="23" t="s">
        <v>34</v>
      </c>
      <c r="E115" s="8">
        <v>513</v>
      </c>
      <c r="F115" s="8">
        <v>551</v>
      </c>
      <c r="G115" s="9">
        <f t="shared" si="18"/>
        <v>38</v>
      </c>
      <c r="H115" s="10">
        <f t="shared" si="19"/>
        <v>7.407407407407407E-2</v>
      </c>
      <c r="I115" s="11">
        <v>31457.16</v>
      </c>
      <c r="J115" s="11">
        <v>33787.32</v>
      </c>
      <c r="K115" s="12">
        <f t="shared" si="20"/>
        <v>2330.16</v>
      </c>
      <c r="L115" s="11">
        <f t="shared" si="21"/>
        <v>61.32</v>
      </c>
      <c r="M115" s="11">
        <f t="shared" si="22"/>
        <v>61.32</v>
      </c>
      <c r="N115" s="25">
        <f t="shared" si="23"/>
        <v>0</v>
      </c>
    </row>
    <row r="116" spans="1:14" ht="32.1" customHeight="1">
      <c r="A116" s="22" t="s">
        <v>16</v>
      </c>
      <c r="B116" s="23" t="s">
        <v>73</v>
      </c>
      <c r="C116" s="24">
        <v>1442</v>
      </c>
      <c r="D116" s="23" t="s">
        <v>48</v>
      </c>
      <c r="E116" s="8">
        <v>884</v>
      </c>
      <c r="F116" s="8">
        <v>914</v>
      </c>
      <c r="G116" s="9">
        <f t="shared" si="18"/>
        <v>30</v>
      </c>
      <c r="H116" s="10">
        <f t="shared" si="19"/>
        <v>3.3936651583710405E-2</v>
      </c>
      <c r="I116" s="11">
        <v>388332.36</v>
      </c>
      <c r="J116" s="11">
        <v>401511.06</v>
      </c>
      <c r="K116" s="12">
        <f t="shared" si="20"/>
        <v>13178.700000000012</v>
      </c>
      <c r="L116" s="11">
        <f t="shared" si="21"/>
        <v>439.28999999999996</v>
      </c>
      <c r="M116" s="11">
        <f t="shared" si="22"/>
        <v>439.29</v>
      </c>
      <c r="N116" s="25">
        <f t="shared" si="23"/>
        <v>5.6843418860808015E-14</v>
      </c>
    </row>
    <row r="117" spans="1:14" ht="32.1" customHeight="1">
      <c r="A117" s="22" t="s">
        <v>16</v>
      </c>
      <c r="B117" s="23" t="s">
        <v>70</v>
      </c>
      <c r="C117" s="24">
        <v>40022</v>
      </c>
      <c r="D117" s="23" t="s">
        <v>87</v>
      </c>
      <c r="E117" s="8">
        <v>17</v>
      </c>
      <c r="F117" s="8">
        <v>38</v>
      </c>
      <c r="G117" s="9">
        <f t="shared" si="18"/>
        <v>21</v>
      </c>
      <c r="H117" s="10">
        <f t="shared" si="19"/>
        <v>1.2352941176470589</v>
      </c>
      <c r="I117" s="11">
        <v>4068.27</v>
      </c>
      <c r="J117" s="11">
        <v>9093.7800000000007</v>
      </c>
      <c r="K117" s="12">
        <f t="shared" si="20"/>
        <v>5025.51</v>
      </c>
      <c r="L117" s="11">
        <f t="shared" si="21"/>
        <v>239.31</v>
      </c>
      <c r="M117" s="11">
        <f t="shared" si="22"/>
        <v>239.31000000000003</v>
      </c>
      <c r="N117" s="25">
        <f t="shared" si="23"/>
        <v>2.8421709430404007E-14</v>
      </c>
    </row>
    <row r="118" spans="1:14" ht="32.1" customHeight="1">
      <c r="A118" s="22" t="s">
        <v>16</v>
      </c>
      <c r="B118" s="23" t="s">
        <v>72</v>
      </c>
      <c r="C118" s="24">
        <v>2013</v>
      </c>
      <c r="D118" s="23" t="s">
        <v>61</v>
      </c>
      <c r="E118" s="8">
        <v>330</v>
      </c>
      <c r="F118" s="8">
        <v>349</v>
      </c>
      <c r="G118" s="9">
        <f t="shared" si="18"/>
        <v>19</v>
      </c>
      <c r="H118" s="10">
        <f t="shared" si="19"/>
        <v>5.7575757575757579E-2</v>
      </c>
      <c r="I118" s="11">
        <v>59588.1</v>
      </c>
      <c r="J118" s="11">
        <v>63018.93</v>
      </c>
      <c r="K118" s="12">
        <f t="shared" si="20"/>
        <v>3430.8300000000017</v>
      </c>
      <c r="L118" s="11">
        <f t="shared" si="21"/>
        <v>180.57</v>
      </c>
      <c r="M118" s="11">
        <f t="shared" si="22"/>
        <v>180.57</v>
      </c>
      <c r="N118" s="25">
        <f t="shared" si="23"/>
        <v>0</v>
      </c>
    </row>
    <row r="119" spans="1:14" ht="32.1" customHeight="1">
      <c r="A119" s="22" t="s">
        <v>16</v>
      </c>
      <c r="B119" s="23" t="s">
        <v>73</v>
      </c>
      <c r="C119" s="24">
        <v>1701</v>
      </c>
      <c r="D119" s="23" t="s">
        <v>82</v>
      </c>
      <c r="E119" s="8">
        <v>0</v>
      </c>
      <c r="F119" s="8">
        <v>18</v>
      </c>
      <c r="G119" s="9">
        <f t="shared" si="18"/>
        <v>18</v>
      </c>
      <c r="H119" s="10" t="str">
        <f t="shared" si="19"/>
        <v/>
      </c>
      <c r="I119" s="11">
        <v>0</v>
      </c>
      <c r="J119" s="11">
        <v>4422.96</v>
      </c>
      <c r="K119" s="12">
        <f t="shared" si="20"/>
        <v>4422.96</v>
      </c>
      <c r="L119" s="11" t="str">
        <f t="shared" si="21"/>
        <v/>
      </c>
      <c r="M119" s="11">
        <f t="shared" si="22"/>
        <v>245.72</v>
      </c>
      <c r="N119" s="25" t="str">
        <f t="shared" si="23"/>
        <v/>
      </c>
    </row>
    <row r="120" spans="1:14" ht="32.1" customHeight="1">
      <c r="A120" s="22" t="s">
        <v>16</v>
      </c>
      <c r="B120" s="23" t="s">
        <v>70</v>
      </c>
      <c r="C120" s="24">
        <v>40023</v>
      </c>
      <c r="D120" s="23" t="s">
        <v>67</v>
      </c>
      <c r="E120" s="8">
        <v>26</v>
      </c>
      <c r="F120" s="8">
        <v>38</v>
      </c>
      <c r="G120" s="9">
        <f t="shared" si="18"/>
        <v>12</v>
      </c>
      <c r="H120" s="10">
        <f t="shared" si="19"/>
        <v>0.46153846153846156</v>
      </c>
      <c r="I120" s="11">
        <v>8088.34</v>
      </c>
      <c r="J120" s="11">
        <v>11821.42</v>
      </c>
      <c r="K120" s="12">
        <f t="shared" si="20"/>
        <v>3733.08</v>
      </c>
      <c r="L120" s="11">
        <f t="shared" si="21"/>
        <v>311.09000000000003</v>
      </c>
      <c r="M120" s="11">
        <f t="shared" si="22"/>
        <v>311.08999999999997</v>
      </c>
      <c r="N120" s="25">
        <f t="shared" si="23"/>
        <v>-5.6843418860808015E-14</v>
      </c>
    </row>
    <row r="121" spans="1:14" ht="32.1" customHeight="1">
      <c r="A121" s="22" t="s">
        <v>16</v>
      </c>
      <c r="B121" s="23" t="s">
        <v>70</v>
      </c>
      <c r="C121" s="24">
        <v>40092</v>
      </c>
      <c r="D121" s="23" t="s">
        <v>66</v>
      </c>
      <c r="E121" s="8">
        <v>28</v>
      </c>
      <c r="F121" s="8">
        <v>40</v>
      </c>
      <c r="G121" s="9">
        <f t="shared" si="18"/>
        <v>12</v>
      </c>
      <c r="H121" s="10">
        <f t="shared" si="19"/>
        <v>0.42857142857142855</v>
      </c>
      <c r="I121" s="11">
        <v>13482.28</v>
      </c>
      <c r="J121" s="11">
        <v>19260.400000000001</v>
      </c>
      <c r="K121" s="12">
        <f t="shared" si="20"/>
        <v>5778.1200000000008</v>
      </c>
      <c r="L121" s="11">
        <f t="shared" si="21"/>
        <v>481.51000000000005</v>
      </c>
      <c r="M121" s="11">
        <f t="shared" si="22"/>
        <v>481.51000000000005</v>
      </c>
      <c r="N121" s="25">
        <f t="shared" si="23"/>
        <v>0</v>
      </c>
    </row>
    <row r="122" spans="1:14" ht="32.1" customHeight="1">
      <c r="A122" s="22" t="s">
        <v>16</v>
      </c>
      <c r="B122" s="23" t="s">
        <v>70</v>
      </c>
      <c r="C122" s="24">
        <v>40115</v>
      </c>
      <c r="D122" s="23" t="s">
        <v>68</v>
      </c>
      <c r="E122" s="8">
        <v>20</v>
      </c>
      <c r="F122" s="8">
        <v>29</v>
      </c>
      <c r="G122" s="9">
        <f t="shared" si="18"/>
        <v>9</v>
      </c>
      <c r="H122" s="10">
        <f t="shared" si="19"/>
        <v>0.45</v>
      </c>
      <c r="I122" s="11">
        <v>12367.2</v>
      </c>
      <c r="J122" s="11">
        <v>17932.439999999999</v>
      </c>
      <c r="K122" s="12">
        <f t="shared" si="20"/>
        <v>5565.239999999998</v>
      </c>
      <c r="L122" s="11">
        <f t="shared" si="21"/>
        <v>618.36</v>
      </c>
      <c r="M122" s="11">
        <f t="shared" si="22"/>
        <v>618.3599999999999</v>
      </c>
      <c r="N122" s="25">
        <f t="shared" si="23"/>
        <v>-1.1368683772161603E-13</v>
      </c>
    </row>
    <row r="123" spans="1:14" ht="32.1" customHeight="1">
      <c r="A123" s="22" t="s">
        <v>16</v>
      </c>
      <c r="B123" s="23" t="s">
        <v>71</v>
      </c>
      <c r="C123" s="24">
        <v>8083</v>
      </c>
      <c r="D123" s="23" t="s">
        <v>97</v>
      </c>
      <c r="E123" s="8">
        <v>1</v>
      </c>
      <c r="F123" s="8">
        <v>7</v>
      </c>
      <c r="G123" s="9">
        <f t="shared" si="18"/>
        <v>6</v>
      </c>
      <c r="H123" s="10">
        <f t="shared" si="19"/>
        <v>6</v>
      </c>
      <c r="I123" s="11">
        <v>5000</v>
      </c>
      <c r="J123" s="11">
        <v>35000</v>
      </c>
      <c r="K123" s="12">
        <f t="shared" si="20"/>
        <v>30000</v>
      </c>
      <c r="L123" s="11">
        <f t="shared" si="21"/>
        <v>5000</v>
      </c>
      <c r="M123" s="11">
        <f t="shared" si="22"/>
        <v>5000</v>
      </c>
      <c r="N123" s="25">
        <f t="shared" si="23"/>
        <v>0</v>
      </c>
    </row>
    <row r="124" spans="1:14" ht="32.1" customHeight="1">
      <c r="A124" s="22" t="s">
        <v>16</v>
      </c>
      <c r="B124" s="23" t="s">
        <v>70</v>
      </c>
      <c r="C124" s="24">
        <v>1980</v>
      </c>
      <c r="D124" s="23" t="s">
        <v>90</v>
      </c>
      <c r="E124" s="8">
        <v>31</v>
      </c>
      <c r="F124" s="8">
        <v>35</v>
      </c>
      <c r="G124" s="9">
        <f t="shared" si="18"/>
        <v>4</v>
      </c>
      <c r="H124" s="10">
        <f t="shared" si="19"/>
        <v>0.12903225806451613</v>
      </c>
      <c r="I124" s="11">
        <v>48190.43</v>
      </c>
      <c r="J124" s="11">
        <v>54408.55</v>
      </c>
      <c r="K124" s="12">
        <f t="shared" si="20"/>
        <v>6218.1200000000026</v>
      </c>
      <c r="L124" s="11">
        <f t="shared" si="21"/>
        <v>1554.53</v>
      </c>
      <c r="M124" s="11">
        <f t="shared" si="22"/>
        <v>1554.53</v>
      </c>
      <c r="N124" s="25">
        <f t="shared" si="23"/>
        <v>0</v>
      </c>
    </row>
    <row r="125" spans="1:14" ht="32.1" customHeight="1">
      <c r="A125" s="22" t="s">
        <v>16</v>
      </c>
      <c r="B125" s="23" t="s">
        <v>71</v>
      </c>
      <c r="C125" s="24">
        <v>8075</v>
      </c>
      <c r="D125" s="23" t="s">
        <v>99</v>
      </c>
      <c r="E125" s="8">
        <v>12</v>
      </c>
      <c r="F125" s="8">
        <v>14</v>
      </c>
      <c r="G125" s="9">
        <f t="shared" si="18"/>
        <v>2</v>
      </c>
      <c r="H125" s="10">
        <f t="shared" si="19"/>
        <v>0.16666666666666666</v>
      </c>
      <c r="I125" s="11">
        <v>2147.7600000000002</v>
      </c>
      <c r="J125" s="11">
        <v>2505.7199999999998</v>
      </c>
      <c r="K125" s="12">
        <f t="shared" si="20"/>
        <v>357.95999999999958</v>
      </c>
      <c r="L125" s="11">
        <f t="shared" si="21"/>
        <v>178.98000000000002</v>
      </c>
      <c r="M125" s="11">
        <f t="shared" si="22"/>
        <v>178.98</v>
      </c>
      <c r="N125" s="25">
        <f t="shared" si="23"/>
        <v>-2.8421709430404007E-14</v>
      </c>
    </row>
    <row r="126" spans="1:14" ht="32.1" customHeight="1">
      <c r="A126" s="22" t="s">
        <v>16</v>
      </c>
      <c r="B126" s="23" t="s">
        <v>73</v>
      </c>
      <c r="C126" s="24">
        <v>1447</v>
      </c>
      <c r="D126" s="23" t="s">
        <v>95</v>
      </c>
      <c r="E126" s="8">
        <v>0</v>
      </c>
      <c r="F126" s="8">
        <v>1</v>
      </c>
      <c r="G126" s="9">
        <f t="shared" si="18"/>
        <v>1</v>
      </c>
      <c r="H126" s="10" t="str">
        <f t="shared" si="19"/>
        <v/>
      </c>
      <c r="I126" s="11">
        <v>0</v>
      </c>
      <c r="J126" s="11">
        <v>128.56</v>
      </c>
      <c r="K126" s="12">
        <f t="shared" si="20"/>
        <v>128.56</v>
      </c>
      <c r="L126" s="11" t="str">
        <f t="shared" si="21"/>
        <v/>
      </c>
      <c r="M126" s="11">
        <f t="shared" si="22"/>
        <v>128.56</v>
      </c>
      <c r="N126" s="25" t="str">
        <f t="shared" si="23"/>
        <v/>
      </c>
    </row>
    <row r="127" spans="1:14" ht="32.1" customHeight="1">
      <c r="A127" s="22" t="s">
        <v>16</v>
      </c>
      <c r="B127" s="23" t="s">
        <v>71</v>
      </c>
      <c r="C127" s="24">
        <v>8044</v>
      </c>
      <c r="D127" s="23" t="s">
        <v>85</v>
      </c>
      <c r="E127" s="8">
        <v>1</v>
      </c>
      <c r="F127" s="8">
        <v>2</v>
      </c>
      <c r="G127" s="9">
        <f t="shared" si="18"/>
        <v>1</v>
      </c>
      <c r="H127" s="10">
        <f t="shared" si="19"/>
        <v>1</v>
      </c>
      <c r="I127" s="11">
        <v>2586.85</v>
      </c>
      <c r="J127" s="11">
        <v>5173.7</v>
      </c>
      <c r="K127" s="12">
        <f t="shared" si="20"/>
        <v>2586.85</v>
      </c>
      <c r="L127" s="11">
        <f t="shared" si="21"/>
        <v>2586.85</v>
      </c>
      <c r="M127" s="11">
        <f t="shared" si="22"/>
        <v>2586.85</v>
      </c>
      <c r="N127" s="25">
        <f t="shared" si="23"/>
        <v>0</v>
      </c>
    </row>
    <row r="128" spans="1:14" ht="32.1" customHeight="1">
      <c r="A128" s="22" t="s">
        <v>16</v>
      </c>
      <c r="B128" s="23" t="s">
        <v>71</v>
      </c>
      <c r="C128" s="24">
        <v>8080</v>
      </c>
      <c r="D128" s="23" t="s">
        <v>107</v>
      </c>
      <c r="E128" s="8">
        <v>0</v>
      </c>
      <c r="F128" s="8">
        <v>1</v>
      </c>
      <c r="G128" s="9">
        <f t="shared" si="18"/>
        <v>1</v>
      </c>
      <c r="H128" s="10" t="str">
        <f t="shared" si="19"/>
        <v/>
      </c>
      <c r="I128" s="11">
        <v>0</v>
      </c>
      <c r="J128" s="11">
        <v>5000</v>
      </c>
      <c r="K128" s="12">
        <f t="shared" si="20"/>
        <v>5000</v>
      </c>
      <c r="L128" s="11" t="str">
        <f t="shared" si="21"/>
        <v/>
      </c>
      <c r="M128" s="11">
        <f t="shared" si="22"/>
        <v>5000</v>
      </c>
      <c r="N128" s="25" t="str">
        <f t="shared" si="23"/>
        <v/>
      </c>
    </row>
    <row r="129" spans="1:14" ht="32.1" customHeight="1">
      <c r="A129" s="22" t="s">
        <v>16</v>
      </c>
      <c r="B129" s="23" t="s">
        <v>71</v>
      </c>
      <c r="C129" s="24">
        <v>8084</v>
      </c>
      <c r="D129" s="23" t="s">
        <v>98</v>
      </c>
      <c r="E129" s="8">
        <v>0</v>
      </c>
      <c r="F129" s="8">
        <v>1</v>
      </c>
      <c r="G129" s="9">
        <f t="shared" si="18"/>
        <v>1</v>
      </c>
      <c r="H129" s="10" t="str">
        <f t="shared" si="19"/>
        <v/>
      </c>
      <c r="I129" s="11">
        <v>0</v>
      </c>
      <c r="J129" s="11">
        <v>5000</v>
      </c>
      <c r="K129" s="12">
        <f t="shared" si="20"/>
        <v>5000</v>
      </c>
      <c r="L129" s="11" t="str">
        <f t="shared" si="21"/>
        <v/>
      </c>
      <c r="M129" s="11">
        <f t="shared" si="22"/>
        <v>5000</v>
      </c>
      <c r="N129" s="25" t="str">
        <f t="shared" si="23"/>
        <v/>
      </c>
    </row>
    <row r="130" spans="1:14" ht="32.1" customHeight="1">
      <c r="A130" s="22" t="s">
        <v>16</v>
      </c>
      <c r="B130" s="23" t="s">
        <v>71</v>
      </c>
      <c r="C130" s="24">
        <v>8086</v>
      </c>
      <c r="D130" s="23" t="s">
        <v>59</v>
      </c>
      <c r="E130" s="8">
        <v>1</v>
      </c>
      <c r="F130" s="8">
        <v>2</v>
      </c>
      <c r="G130" s="9">
        <f t="shared" si="18"/>
        <v>1</v>
      </c>
      <c r="H130" s="10">
        <f t="shared" si="19"/>
        <v>1</v>
      </c>
      <c r="I130" s="11">
        <v>1211.8</v>
      </c>
      <c r="J130" s="11">
        <v>2423.6</v>
      </c>
      <c r="K130" s="12">
        <f t="shared" si="20"/>
        <v>1211.8</v>
      </c>
      <c r="L130" s="11">
        <f t="shared" si="21"/>
        <v>1211.8</v>
      </c>
      <c r="M130" s="11">
        <f t="shared" si="22"/>
        <v>1211.8</v>
      </c>
      <c r="N130" s="25">
        <f t="shared" si="23"/>
        <v>0</v>
      </c>
    </row>
    <row r="131" spans="1:14" ht="32.1" customHeight="1">
      <c r="A131" s="22" t="s">
        <v>16</v>
      </c>
      <c r="B131" s="23" t="s">
        <v>71</v>
      </c>
      <c r="C131" s="24">
        <v>8089</v>
      </c>
      <c r="D131" s="23" t="s">
        <v>55</v>
      </c>
      <c r="E131" s="8">
        <v>0</v>
      </c>
      <c r="F131" s="8">
        <v>1</v>
      </c>
      <c r="G131" s="9">
        <f t="shared" si="18"/>
        <v>1</v>
      </c>
      <c r="H131" s="10" t="str">
        <f t="shared" si="19"/>
        <v/>
      </c>
      <c r="I131" s="11">
        <v>0</v>
      </c>
      <c r="J131" s="11">
        <v>3099.79</v>
      </c>
      <c r="K131" s="12">
        <f t="shared" si="20"/>
        <v>3099.79</v>
      </c>
      <c r="L131" s="11" t="str">
        <f t="shared" si="21"/>
        <v/>
      </c>
      <c r="M131" s="11">
        <f t="shared" si="22"/>
        <v>3099.79</v>
      </c>
      <c r="N131" s="25" t="str">
        <f t="shared" si="23"/>
        <v/>
      </c>
    </row>
    <row r="132" spans="1:14" ht="32.1" customHeight="1">
      <c r="A132" s="22" t="s">
        <v>16</v>
      </c>
      <c r="B132" s="23" t="s">
        <v>73</v>
      </c>
      <c r="C132" s="24">
        <v>1571</v>
      </c>
      <c r="D132" s="23" t="s">
        <v>35</v>
      </c>
      <c r="E132" s="8">
        <v>1</v>
      </c>
      <c r="F132" s="8">
        <v>0</v>
      </c>
      <c r="G132" s="9">
        <f t="shared" si="18"/>
        <v>-1</v>
      </c>
      <c r="H132" s="10">
        <f t="shared" si="19"/>
        <v>-1</v>
      </c>
      <c r="I132" s="11">
        <v>114.78</v>
      </c>
      <c r="J132" s="11">
        <v>0</v>
      </c>
      <c r="K132" s="12">
        <f t="shared" si="20"/>
        <v>-114.78</v>
      </c>
      <c r="L132" s="11">
        <f t="shared" si="21"/>
        <v>114.78</v>
      </c>
      <c r="M132" s="11" t="str">
        <f t="shared" si="22"/>
        <v/>
      </c>
      <c r="N132" s="25" t="str">
        <f t="shared" si="23"/>
        <v/>
      </c>
    </row>
    <row r="133" spans="1:14" ht="32.1" customHeight="1">
      <c r="A133" s="22" t="s">
        <v>16</v>
      </c>
      <c r="B133" s="23" t="s">
        <v>71</v>
      </c>
      <c r="C133" s="24">
        <v>8082</v>
      </c>
      <c r="D133" s="23" t="s">
        <v>91</v>
      </c>
      <c r="E133" s="8">
        <v>1</v>
      </c>
      <c r="F133" s="8">
        <v>0</v>
      </c>
      <c r="G133" s="9">
        <f t="shared" si="18"/>
        <v>-1</v>
      </c>
      <c r="H133" s="10">
        <f t="shared" si="19"/>
        <v>-1</v>
      </c>
      <c r="I133" s="11">
        <v>5000</v>
      </c>
      <c r="J133" s="11">
        <v>0</v>
      </c>
      <c r="K133" s="12">
        <f t="shared" si="20"/>
        <v>-5000</v>
      </c>
      <c r="L133" s="11">
        <f t="shared" si="21"/>
        <v>5000</v>
      </c>
      <c r="M133" s="11" t="str">
        <f t="shared" si="22"/>
        <v/>
      </c>
      <c r="N133" s="25" t="str">
        <f t="shared" si="23"/>
        <v/>
      </c>
    </row>
    <row r="134" spans="1:14" ht="32.1" customHeight="1">
      <c r="A134" s="22" t="s">
        <v>16</v>
      </c>
      <c r="B134" s="23" t="s">
        <v>75</v>
      </c>
      <c r="C134" s="24">
        <v>40051</v>
      </c>
      <c r="D134" s="23" t="s">
        <v>108</v>
      </c>
      <c r="E134" s="8">
        <v>1</v>
      </c>
      <c r="F134" s="8">
        <v>0</v>
      </c>
      <c r="G134" s="9">
        <f t="shared" ref="G134:G165" si="24">F134-E134</f>
        <v>-1</v>
      </c>
      <c r="H134" s="10">
        <f t="shared" ref="H134:H165" si="25">IF(E134=0,"",G134/E134)</f>
        <v>-1</v>
      </c>
      <c r="I134" s="11">
        <v>102.17</v>
      </c>
      <c r="J134" s="11">
        <v>0</v>
      </c>
      <c r="K134" s="12">
        <f t="shared" ref="K134:K165" si="26">J134-I134</f>
        <v>-102.17</v>
      </c>
      <c r="L134" s="11">
        <f t="shared" ref="L134:L165" si="27">IF(E134=0,"",I134/E134)</f>
        <v>102.17</v>
      </c>
      <c r="M134" s="11" t="str">
        <f t="shared" ref="M134:M165" si="28">IF(F134=0,"",J134/F134)</f>
        <v/>
      </c>
      <c r="N134" s="25" t="str">
        <f t="shared" ref="N134:N165" si="29">IF(OR(L134="",M134=""),"",M134-L134)</f>
        <v/>
      </c>
    </row>
    <row r="135" spans="1:14" ht="32.1" customHeight="1">
      <c r="A135" s="22" t="s">
        <v>16</v>
      </c>
      <c r="B135" s="23" t="s">
        <v>71</v>
      </c>
      <c r="C135" s="24">
        <v>51454</v>
      </c>
      <c r="D135" s="23" t="s">
        <v>88</v>
      </c>
      <c r="E135" s="8">
        <v>3</v>
      </c>
      <c r="F135" s="8">
        <v>2</v>
      </c>
      <c r="G135" s="9">
        <f t="shared" si="24"/>
        <v>-1</v>
      </c>
      <c r="H135" s="10">
        <f t="shared" si="25"/>
        <v>-0.33333333333333331</v>
      </c>
      <c r="I135" s="11">
        <v>15000</v>
      </c>
      <c r="J135" s="11">
        <v>10000</v>
      </c>
      <c r="K135" s="12">
        <f t="shared" si="26"/>
        <v>-5000</v>
      </c>
      <c r="L135" s="11">
        <f t="shared" si="27"/>
        <v>5000</v>
      </c>
      <c r="M135" s="11">
        <f t="shared" si="28"/>
        <v>5000</v>
      </c>
      <c r="N135" s="25">
        <f t="shared" si="29"/>
        <v>0</v>
      </c>
    </row>
    <row r="136" spans="1:14" ht="32.1" customHeight="1">
      <c r="A136" s="22" t="s">
        <v>16</v>
      </c>
      <c r="B136" s="23" t="s">
        <v>73</v>
      </c>
      <c r="C136" s="24">
        <v>1445</v>
      </c>
      <c r="D136" s="23" t="s">
        <v>89</v>
      </c>
      <c r="E136" s="8">
        <v>2</v>
      </c>
      <c r="F136" s="8">
        <v>0</v>
      </c>
      <c r="G136" s="9">
        <f t="shared" si="24"/>
        <v>-2</v>
      </c>
      <c r="H136" s="10">
        <f t="shared" si="25"/>
        <v>-1</v>
      </c>
      <c r="I136" s="11">
        <v>335.18</v>
      </c>
      <c r="J136" s="11">
        <v>0</v>
      </c>
      <c r="K136" s="12">
        <f t="shared" si="26"/>
        <v>-335.18</v>
      </c>
      <c r="L136" s="11">
        <f t="shared" si="27"/>
        <v>167.59</v>
      </c>
      <c r="M136" s="11" t="str">
        <f t="shared" si="28"/>
        <v/>
      </c>
      <c r="N136" s="25" t="str">
        <f t="shared" si="29"/>
        <v/>
      </c>
    </row>
    <row r="137" spans="1:14" ht="32.1" customHeight="1">
      <c r="A137" s="22" t="s">
        <v>16</v>
      </c>
      <c r="B137" s="23" t="s">
        <v>71</v>
      </c>
      <c r="C137" s="24">
        <v>8088</v>
      </c>
      <c r="D137" s="23" t="s">
        <v>101</v>
      </c>
      <c r="E137" s="8">
        <v>2</v>
      </c>
      <c r="F137" s="8">
        <v>0</v>
      </c>
      <c r="G137" s="9">
        <f t="shared" si="24"/>
        <v>-2</v>
      </c>
      <c r="H137" s="10">
        <f t="shared" si="25"/>
        <v>-1</v>
      </c>
      <c r="I137" s="11">
        <v>19596.78</v>
      </c>
      <c r="J137" s="11">
        <v>0</v>
      </c>
      <c r="K137" s="12">
        <f t="shared" si="26"/>
        <v>-19596.78</v>
      </c>
      <c r="L137" s="11">
        <f t="shared" si="27"/>
        <v>9798.39</v>
      </c>
      <c r="M137" s="11" t="str">
        <f t="shared" si="28"/>
        <v/>
      </c>
      <c r="N137" s="25" t="str">
        <f t="shared" si="29"/>
        <v/>
      </c>
    </row>
    <row r="138" spans="1:14" ht="32.1" customHeight="1">
      <c r="A138" s="22" t="s">
        <v>16</v>
      </c>
      <c r="B138" s="23" t="s">
        <v>76</v>
      </c>
      <c r="C138" s="24">
        <v>150555</v>
      </c>
      <c r="D138" s="23" t="s">
        <v>109</v>
      </c>
      <c r="E138" s="8">
        <v>2</v>
      </c>
      <c r="F138" s="8">
        <v>0</v>
      </c>
      <c r="G138" s="9">
        <f t="shared" si="24"/>
        <v>-2</v>
      </c>
      <c r="H138" s="10">
        <f t="shared" si="25"/>
        <v>-1</v>
      </c>
      <c r="I138" s="11">
        <v>103.96</v>
      </c>
      <c r="J138" s="11">
        <v>0</v>
      </c>
      <c r="K138" s="12">
        <f t="shared" si="26"/>
        <v>-103.96</v>
      </c>
      <c r="L138" s="11">
        <f t="shared" si="27"/>
        <v>51.98</v>
      </c>
      <c r="M138" s="11" t="str">
        <f t="shared" si="28"/>
        <v/>
      </c>
      <c r="N138" s="25" t="str">
        <f t="shared" si="29"/>
        <v/>
      </c>
    </row>
    <row r="139" spans="1:14" ht="32.1" customHeight="1">
      <c r="A139" s="22" t="s">
        <v>16</v>
      </c>
      <c r="B139" s="23" t="s">
        <v>70</v>
      </c>
      <c r="C139" s="24">
        <v>1982</v>
      </c>
      <c r="D139" s="23" t="s">
        <v>100</v>
      </c>
      <c r="E139" s="8">
        <v>9</v>
      </c>
      <c r="F139" s="8">
        <v>6</v>
      </c>
      <c r="G139" s="9">
        <f t="shared" si="24"/>
        <v>-3</v>
      </c>
      <c r="H139" s="10">
        <f t="shared" si="25"/>
        <v>-0.33333333333333331</v>
      </c>
      <c r="I139" s="11">
        <v>7052.58</v>
      </c>
      <c r="J139" s="11">
        <v>4701.72</v>
      </c>
      <c r="K139" s="12">
        <f t="shared" si="26"/>
        <v>-2350.8599999999997</v>
      </c>
      <c r="L139" s="11">
        <f t="shared" si="27"/>
        <v>783.62</v>
      </c>
      <c r="M139" s="11">
        <f t="shared" si="28"/>
        <v>783.62</v>
      </c>
      <c r="N139" s="25">
        <f t="shared" si="29"/>
        <v>0</v>
      </c>
    </row>
    <row r="140" spans="1:14" ht="32.1" customHeight="1">
      <c r="A140" s="22" t="s">
        <v>16</v>
      </c>
      <c r="B140" s="23" t="s">
        <v>71</v>
      </c>
      <c r="C140" s="24">
        <v>3009</v>
      </c>
      <c r="D140" s="23" t="s">
        <v>110</v>
      </c>
      <c r="E140" s="8">
        <v>3</v>
      </c>
      <c r="F140" s="8">
        <v>0</v>
      </c>
      <c r="G140" s="9">
        <f t="shared" si="24"/>
        <v>-3</v>
      </c>
      <c r="H140" s="10">
        <f t="shared" si="25"/>
        <v>-1</v>
      </c>
      <c r="I140" s="11">
        <v>995.31</v>
      </c>
      <c r="J140" s="11">
        <v>0</v>
      </c>
      <c r="K140" s="12">
        <f t="shared" si="26"/>
        <v>-995.31</v>
      </c>
      <c r="L140" s="11">
        <f t="shared" si="27"/>
        <v>331.77</v>
      </c>
      <c r="M140" s="11" t="str">
        <f t="shared" si="28"/>
        <v/>
      </c>
      <c r="N140" s="25" t="str">
        <f t="shared" si="29"/>
        <v/>
      </c>
    </row>
    <row r="141" spans="1:14" ht="32.1" customHeight="1">
      <c r="A141" s="22" t="s">
        <v>16</v>
      </c>
      <c r="B141" s="23" t="s">
        <v>71</v>
      </c>
      <c r="C141" s="24">
        <v>3053</v>
      </c>
      <c r="D141" s="23" t="s">
        <v>60</v>
      </c>
      <c r="E141" s="8">
        <v>3</v>
      </c>
      <c r="F141" s="8">
        <v>0</v>
      </c>
      <c r="G141" s="9">
        <f t="shared" si="24"/>
        <v>-3</v>
      </c>
      <c r="H141" s="10">
        <f t="shared" si="25"/>
        <v>-1</v>
      </c>
      <c r="I141" s="11">
        <v>1736.58</v>
      </c>
      <c r="J141" s="11">
        <v>0</v>
      </c>
      <c r="K141" s="12">
        <f t="shared" si="26"/>
        <v>-1736.58</v>
      </c>
      <c r="L141" s="11">
        <f t="shared" si="27"/>
        <v>578.86</v>
      </c>
      <c r="M141" s="11" t="str">
        <f t="shared" si="28"/>
        <v/>
      </c>
      <c r="N141" s="25" t="str">
        <f t="shared" si="29"/>
        <v/>
      </c>
    </row>
    <row r="142" spans="1:14" ht="32.1" customHeight="1">
      <c r="A142" s="22" t="s">
        <v>16</v>
      </c>
      <c r="B142" s="23" t="s">
        <v>72</v>
      </c>
      <c r="C142" s="24">
        <v>2014</v>
      </c>
      <c r="D142" s="23" t="s">
        <v>81</v>
      </c>
      <c r="E142" s="8">
        <v>138</v>
      </c>
      <c r="F142" s="8">
        <v>134</v>
      </c>
      <c r="G142" s="9">
        <f t="shared" si="24"/>
        <v>-4</v>
      </c>
      <c r="H142" s="10">
        <f t="shared" si="25"/>
        <v>-2.8985507246376812E-2</v>
      </c>
      <c r="I142" s="11">
        <v>5278.5</v>
      </c>
      <c r="J142" s="11">
        <v>5125.5</v>
      </c>
      <c r="K142" s="12">
        <f t="shared" si="26"/>
        <v>-153</v>
      </c>
      <c r="L142" s="11">
        <f t="shared" si="27"/>
        <v>38.25</v>
      </c>
      <c r="M142" s="11">
        <f t="shared" si="28"/>
        <v>38.25</v>
      </c>
      <c r="N142" s="25">
        <f t="shared" si="29"/>
        <v>0</v>
      </c>
    </row>
    <row r="143" spans="1:14" ht="32.1" customHeight="1">
      <c r="A143" s="22" t="s">
        <v>16</v>
      </c>
      <c r="B143" s="23" t="s">
        <v>71</v>
      </c>
      <c r="C143" s="24">
        <v>8017</v>
      </c>
      <c r="D143" s="23" t="s">
        <v>57</v>
      </c>
      <c r="E143" s="8">
        <v>4</v>
      </c>
      <c r="F143" s="8">
        <v>0</v>
      </c>
      <c r="G143" s="9">
        <f t="shared" si="24"/>
        <v>-4</v>
      </c>
      <c r="H143" s="10">
        <f t="shared" si="25"/>
        <v>-1</v>
      </c>
      <c r="I143" s="11">
        <v>1004.2</v>
      </c>
      <c r="J143" s="11">
        <v>0</v>
      </c>
      <c r="K143" s="12">
        <f t="shared" si="26"/>
        <v>-1004.2</v>
      </c>
      <c r="L143" s="11">
        <f t="shared" si="27"/>
        <v>251.05</v>
      </c>
      <c r="M143" s="11" t="str">
        <f t="shared" si="28"/>
        <v/>
      </c>
      <c r="N143" s="25" t="str">
        <f t="shared" si="29"/>
        <v/>
      </c>
    </row>
    <row r="144" spans="1:14" ht="32.1" customHeight="1">
      <c r="A144" s="22" t="s">
        <v>16</v>
      </c>
      <c r="B144" s="23" t="s">
        <v>71</v>
      </c>
      <c r="C144" s="24">
        <v>8039</v>
      </c>
      <c r="D144" s="23" t="s">
        <v>94</v>
      </c>
      <c r="E144" s="8">
        <v>6</v>
      </c>
      <c r="F144" s="8">
        <v>2</v>
      </c>
      <c r="G144" s="9">
        <f t="shared" si="24"/>
        <v>-4</v>
      </c>
      <c r="H144" s="10">
        <f t="shared" si="25"/>
        <v>-0.66666666666666663</v>
      </c>
      <c r="I144" s="11">
        <v>2663.58</v>
      </c>
      <c r="J144" s="11">
        <v>887.86</v>
      </c>
      <c r="K144" s="12">
        <f t="shared" si="26"/>
        <v>-1775.7199999999998</v>
      </c>
      <c r="L144" s="11">
        <f t="shared" si="27"/>
        <v>443.93</v>
      </c>
      <c r="M144" s="11">
        <f t="shared" si="28"/>
        <v>443.93</v>
      </c>
      <c r="N144" s="25">
        <f t="shared" si="29"/>
        <v>0</v>
      </c>
    </row>
    <row r="145" spans="1:14" ht="32.1" customHeight="1">
      <c r="A145" s="22" t="s">
        <v>16</v>
      </c>
      <c r="B145" s="23" t="s">
        <v>71</v>
      </c>
      <c r="C145" s="24">
        <v>8085</v>
      </c>
      <c r="D145" s="23" t="s">
        <v>93</v>
      </c>
      <c r="E145" s="8">
        <v>6</v>
      </c>
      <c r="F145" s="8">
        <v>2</v>
      </c>
      <c r="G145" s="9">
        <f t="shared" si="24"/>
        <v>-4</v>
      </c>
      <c r="H145" s="10">
        <f t="shared" si="25"/>
        <v>-0.66666666666666663</v>
      </c>
      <c r="I145" s="11">
        <v>17776.8</v>
      </c>
      <c r="J145" s="11">
        <v>5925.6</v>
      </c>
      <c r="K145" s="12">
        <f t="shared" si="26"/>
        <v>-11851.199999999999</v>
      </c>
      <c r="L145" s="11">
        <f t="shared" si="27"/>
        <v>2962.7999999999997</v>
      </c>
      <c r="M145" s="11">
        <f t="shared" si="28"/>
        <v>2962.8</v>
      </c>
      <c r="N145" s="25">
        <f t="shared" si="29"/>
        <v>4.5474735088646412E-13</v>
      </c>
    </row>
    <row r="146" spans="1:14" ht="32.1" customHeight="1">
      <c r="A146" s="22" t="s">
        <v>16</v>
      </c>
      <c r="B146" s="23" t="s">
        <v>70</v>
      </c>
      <c r="C146" s="24">
        <v>16006</v>
      </c>
      <c r="D146" s="23" t="s">
        <v>86</v>
      </c>
      <c r="E146" s="8">
        <v>13</v>
      </c>
      <c r="F146" s="8">
        <v>9</v>
      </c>
      <c r="G146" s="9">
        <f t="shared" si="24"/>
        <v>-4</v>
      </c>
      <c r="H146" s="10">
        <f t="shared" si="25"/>
        <v>-0.30769230769230771</v>
      </c>
      <c r="I146" s="11">
        <v>1758.12</v>
      </c>
      <c r="J146" s="11">
        <v>1217.1600000000001</v>
      </c>
      <c r="K146" s="12">
        <f t="shared" si="26"/>
        <v>-540.95999999999981</v>
      </c>
      <c r="L146" s="11">
        <f t="shared" si="27"/>
        <v>135.23999999999998</v>
      </c>
      <c r="M146" s="11">
        <f t="shared" si="28"/>
        <v>135.24</v>
      </c>
      <c r="N146" s="25">
        <f t="shared" si="29"/>
        <v>2.8421709430404007E-14</v>
      </c>
    </row>
    <row r="147" spans="1:14" ht="32.1" customHeight="1">
      <c r="A147" s="22" t="s">
        <v>16</v>
      </c>
      <c r="B147" s="23" t="s">
        <v>71</v>
      </c>
      <c r="C147" s="24">
        <v>8003</v>
      </c>
      <c r="D147" s="23" t="s">
        <v>25</v>
      </c>
      <c r="E147" s="8">
        <v>46</v>
      </c>
      <c r="F147" s="8">
        <v>36</v>
      </c>
      <c r="G147" s="9">
        <f t="shared" si="24"/>
        <v>-10</v>
      </c>
      <c r="H147" s="10">
        <f t="shared" si="25"/>
        <v>-0.21739130434782608</v>
      </c>
      <c r="I147" s="11">
        <v>24931.54</v>
      </c>
      <c r="J147" s="11">
        <v>19511.64</v>
      </c>
      <c r="K147" s="12">
        <f t="shared" si="26"/>
        <v>-5419.9000000000015</v>
      </c>
      <c r="L147" s="11">
        <f t="shared" si="27"/>
        <v>541.99</v>
      </c>
      <c r="M147" s="11">
        <f t="shared" si="28"/>
        <v>541.99</v>
      </c>
      <c r="N147" s="25">
        <f t="shared" si="29"/>
        <v>0</v>
      </c>
    </row>
    <row r="148" spans="1:14" ht="32.1" customHeight="1">
      <c r="A148" s="22" t="s">
        <v>16</v>
      </c>
      <c r="B148" s="23" t="s">
        <v>73</v>
      </c>
      <c r="C148" s="24">
        <v>1443</v>
      </c>
      <c r="D148" s="23" t="s">
        <v>65</v>
      </c>
      <c r="E148" s="8">
        <v>12</v>
      </c>
      <c r="F148" s="8">
        <v>0</v>
      </c>
      <c r="G148" s="9">
        <f t="shared" si="24"/>
        <v>-12</v>
      </c>
      <c r="H148" s="10">
        <f t="shared" si="25"/>
        <v>-1</v>
      </c>
      <c r="I148" s="11">
        <v>3470.64</v>
      </c>
      <c r="J148" s="11">
        <v>0</v>
      </c>
      <c r="K148" s="12">
        <f t="shared" si="26"/>
        <v>-3470.64</v>
      </c>
      <c r="L148" s="11">
        <f t="shared" si="27"/>
        <v>289.21999999999997</v>
      </c>
      <c r="M148" s="11" t="str">
        <f t="shared" si="28"/>
        <v/>
      </c>
      <c r="N148" s="25" t="str">
        <f t="shared" si="29"/>
        <v/>
      </c>
    </row>
    <row r="149" spans="1:14" ht="32.1" customHeight="1">
      <c r="A149" s="22" t="s">
        <v>16</v>
      </c>
      <c r="B149" s="23" t="s">
        <v>73</v>
      </c>
      <c r="C149" s="24">
        <v>1444</v>
      </c>
      <c r="D149" s="23" t="s">
        <v>64</v>
      </c>
      <c r="E149" s="8">
        <v>14</v>
      </c>
      <c r="F149" s="8">
        <v>0</v>
      </c>
      <c r="G149" s="9">
        <f t="shared" si="24"/>
        <v>-14</v>
      </c>
      <c r="H149" s="10">
        <f t="shared" si="25"/>
        <v>-1</v>
      </c>
      <c r="I149" s="11">
        <v>4049.08</v>
      </c>
      <c r="J149" s="11">
        <v>0</v>
      </c>
      <c r="K149" s="12">
        <f t="shared" si="26"/>
        <v>-4049.08</v>
      </c>
      <c r="L149" s="11">
        <f t="shared" si="27"/>
        <v>289.21999999999997</v>
      </c>
      <c r="M149" s="11" t="str">
        <f t="shared" si="28"/>
        <v/>
      </c>
      <c r="N149" s="25" t="str">
        <f t="shared" si="29"/>
        <v/>
      </c>
    </row>
    <row r="150" spans="1:14" ht="32.1" customHeight="1">
      <c r="A150" s="22" t="s">
        <v>16</v>
      </c>
      <c r="B150" s="23" t="s">
        <v>74</v>
      </c>
      <c r="C150" s="24">
        <v>1983</v>
      </c>
      <c r="D150" s="23" t="s">
        <v>63</v>
      </c>
      <c r="E150" s="8">
        <v>118</v>
      </c>
      <c r="F150" s="8">
        <v>102</v>
      </c>
      <c r="G150" s="9">
        <f t="shared" si="24"/>
        <v>-16</v>
      </c>
      <c r="H150" s="10">
        <f t="shared" si="25"/>
        <v>-0.13559322033898305</v>
      </c>
      <c r="I150" s="11">
        <v>406675.20000000001</v>
      </c>
      <c r="J150" s="11">
        <v>351532.79999999999</v>
      </c>
      <c r="K150" s="12">
        <f t="shared" si="26"/>
        <v>-55142.400000000023</v>
      </c>
      <c r="L150" s="11">
        <f t="shared" si="27"/>
        <v>3446.4</v>
      </c>
      <c r="M150" s="11">
        <f t="shared" si="28"/>
        <v>3446.4</v>
      </c>
      <c r="N150" s="25">
        <f t="shared" si="29"/>
        <v>0</v>
      </c>
    </row>
    <row r="151" spans="1:14" ht="32.1" customHeight="1">
      <c r="A151" s="22" t="s">
        <v>16</v>
      </c>
      <c r="B151" s="23" t="s">
        <v>74</v>
      </c>
      <c r="C151" s="24">
        <v>1984</v>
      </c>
      <c r="D151" s="23" t="s">
        <v>51</v>
      </c>
      <c r="E151" s="8">
        <v>303</v>
      </c>
      <c r="F151" s="8">
        <v>266</v>
      </c>
      <c r="G151" s="9">
        <f t="shared" si="24"/>
        <v>-37</v>
      </c>
      <c r="H151" s="10">
        <f t="shared" si="25"/>
        <v>-0.12211221122112212</v>
      </c>
      <c r="I151" s="11">
        <v>639275.46</v>
      </c>
      <c r="J151" s="11">
        <v>561212.12</v>
      </c>
      <c r="K151" s="12">
        <f t="shared" si="26"/>
        <v>-78063.339999999967</v>
      </c>
      <c r="L151" s="11">
        <f t="shared" si="27"/>
        <v>2109.8199999999997</v>
      </c>
      <c r="M151" s="11">
        <f t="shared" si="28"/>
        <v>2109.8200000000002</v>
      </c>
      <c r="N151" s="25">
        <f t="shared" si="29"/>
        <v>4.5474735088646412E-13</v>
      </c>
    </row>
    <row r="152" spans="1:14" ht="32.1" customHeight="1">
      <c r="A152" s="22" t="s">
        <v>16</v>
      </c>
      <c r="B152" s="23" t="s">
        <v>70</v>
      </c>
      <c r="C152" s="24">
        <v>22721</v>
      </c>
      <c r="D152" s="23" t="s">
        <v>50</v>
      </c>
      <c r="E152" s="8">
        <v>345</v>
      </c>
      <c r="F152" s="8">
        <v>297</v>
      </c>
      <c r="G152" s="9">
        <f t="shared" si="24"/>
        <v>-48</v>
      </c>
      <c r="H152" s="10">
        <f t="shared" si="25"/>
        <v>-0.1391304347826087</v>
      </c>
      <c r="I152" s="11">
        <v>148736.4</v>
      </c>
      <c r="J152" s="11">
        <v>128042.64</v>
      </c>
      <c r="K152" s="12">
        <f t="shared" si="26"/>
        <v>-20693.759999999995</v>
      </c>
      <c r="L152" s="11">
        <f t="shared" si="27"/>
        <v>431.12</v>
      </c>
      <c r="M152" s="11">
        <f t="shared" si="28"/>
        <v>431.12</v>
      </c>
      <c r="N152" s="25">
        <f t="shared" si="29"/>
        <v>0</v>
      </c>
    </row>
    <row r="153" spans="1:14" ht="32.1" customHeight="1">
      <c r="A153" s="22" t="s">
        <v>16</v>
      </c>
      <c r="B153" s="23" t="s">
        <v>70</v>
      </c>
      <c r="C153" s="24">
        <v>22722</v>
      </c>
      <c r="D153" s="23" t="s">
        <v>28</v>
      </c>
      <c r="E153" s="8">
        <v>201</v>
      </c>
      <c r="F153" s="8">
        <v>127</v>
      </c>
      <c r="G153" s="9">
        <f t="shared" si="24"/>
        <v>-74</v>
      </c>
      <c r="H153" s="10">
        <f t="shared" si="25"/>
        <v>-0.36815920398009949</v>
      </c>
      <c r="I153" s="11">
        <v>104682.81</v>
      </c>
      <c r="J153" s="11">
        <v>66142.87</v>
      </c>
      <c r="K153" s="12">
        <f t="shared" si="26"/>
        <v>-38539.94</v>
      </c>
      <c r="L153" s="11">
        <f t="shared" si="27"/>
        <v>520.80999999999995</v>
      </c>
      <c r="M153" s="11">
        <f t="shared" si="28"/>
        <v>520.80999999999995</v>
      </c>
      <c r="N153" s="25">
        <f t="shared" si="29"/>
        <v>0</v>
      </c>
    </row>
    <row r="154" spans="1:14" ht="32.1" customHeight="1">
      <c r="A154" s="22" t="s">
        <v>16</v>
      </c>
      <c r="B154" s="23" t="s">
        <v>70</v>
      </c>
      <c r="C154" s="24">
        <v>1981</v>
      </c>
      <c r="D154" s="23" t="s">
        <v>26</v>
      </c>
      <c r="E154" s="8">
        <v>451</v>
      </c>
      <c r="F154" s="8">
        <v>349</v>
      </c>
      <c r="G154" s="9">
        <f t="shared" si="24"/>
        <v>-102</v>
      </c>
      <c r="H154" s="10">
        <f t="shared" si="25"/>
        <v>-0.22616407982261641</v>
      </c>
      <c r="I154" s="11">
        <v>407415.36</v>
      </c>
      <c r="J154" s="11">
        <v>315272.64</v>
      </c>
      <c r="K154" s="12">
        <f t="shared" si="26"/>
        <v>-92142.719999999972</v>
      </c>
      <c r="L154" s="11">
        <f t="shared" si="27"/>
        <v>903.36</v>
      </c>
      <c r="M154" s="11">
        <f t="shared" si="28"/>
        <v>903.36</v>
      </c>
      <c r="N154" s="25">
        <f t="shared" si="29"/>
        <v>0</v>
      </c>
    </row>
    <row r="155" spans="1:14" ht="32.1" customHeight="1">
      <c r="A155" s="22" t="s">
        <v>17</v>
      </c>
      <c r="B155" s="23" t="s">
        <v>73</v>
      </c>
      <c r="C155" s="24">
        <v>1442</v>
      </c>
      <c r="D155" s="23" t="s">
        <v>48</v>
      </c>
      <c r="E155" s="8">
        <v>43</v>
      </c>
      <c r="F155" s="8">
        <v>142</v>
      </c>
      <c r="G155" s="9">
        <f t="shared" si="24"/>
        <v>99</v>
      </c>
      <c r="H155" s="10">
        <f t="shared" si="25"/>
        <v>2.3023255813953489</v>
      </c>
      <c r="I155" s="11">
        <v>18889.47</v>
      </c>
      <c r="J155" s="11">
        <v>62379.18</v>
      </c>
      <c r="K155" s="12">
        <f t="shared" si="26"/>
        <v>43489.71</v>
      </c>
      <c r="L155" s="11">
        <f t="shared" si="27"/>
        <v>439.29</v>
      </c>
      <c r="M155" s="11">
        <f t="shared" si="28"/>
        <v>439.29</v>
      </c>
      <c r="N155" s="25">
        <f t="shared" si="29"/>
        <v>0</v>
      </c>
    </row>
    <row r="156" spans="1:14" ht="32.1" customHeight="1">
      <c r="A156" s="22" t="s">
        <v>17</v>
      </c>
      <c r="B156" s="23" t="s">
        <v>72</v>
      </c>
      <c r="C156" s="24">
        <v>2004</v>
      </c>
      <c r="D156" s="23" t="s">
        <v>34</v>
      </c>
      <c r="E156" s="8">
        <v>88</v>
      </c>
      <c r="F156" s="8">
        <v>148</v>
      </c>
      <c r="G156" s="9">
        <f t="shared" si="24"/>
        <v>60</v>
      </c>
      <c r="H156" s="10">
        <f t="shared" si="25"/>
        <v>0.68181818181818177</v>
      </c>
      <c r="I156" s="11">
        <v>5396.16</v>
      </c>
      <c r="J156" s="11">
        <v>9075.36</v>
      </c>
      <c r="K156" s="12">
        <f t="shared" si="26"/>
        <v>3679.2000000000007</v>
      </c>
      <c r="L156" s="11">
        <f t="shared" si="27"/>
        <v>61.32</v>
      </c>
      <c r="M156" s="11">
        <f t="shared" si="28"/>
        <v>61.320000000000007</v>
      </c>
      <c r="N156" s="25">
        <f t="shared" si="29"/>
        <v>7.1054273576010019E-15</v>
      </c>
    </row>
    <row r="157" spans="1:14" ht="32.1" customHeight="1">
      <c r="A157" s="22" t="s">
        <v>17</v>
      </c>
      <c r="B157" s="23" t="s">
        <v>74</v>
      </c>
      <c r="C157" s="24">
        <v>1984</v>
      </c>
      <c r="D157" s="23" t="s">
        <v>51</v>
      </c>
      <c r="E157" s="8">
        <v>27</v>
      </c>
      <c r="F157" s="8">
        <v>82</v>
      </c>
      <c r="G157" s="9">
        <f t="shared" si="24"/>
        <v>55</v>
      </c>
      <c r="H157" s="10">
        <f t="shared" si="25"/>
        <v>2.0370370370370372</v>
      </c>
      <c r="I157" s="11">
        <v>56965.14</v>
      </c>
      <c r="J157" s="11">
        <v>173005.24</v>
      </c>
      <c r="K157" s="12">
        <f t="shared" si="26"/>
        <v>116040.09999999999</v>
      </c>
      <c r="L157" s="11">
        <f t="shared" si="27"/>
        <v>2109.8200000000002</v>
      </c>
      <c r="M157" s="11">
        <f t="shared" si="28"/>
        <v>2109.8199999999997</v>
      </c>
      <c r="N157" s="25">
        <f t="shared" si="29"/>
        <v>-4.5474735088646412E-13</v>
      </c>
    </row>
    <row r="158" spans="1:14" ht="32.1" customHeight="1">
      <c r="A158" s="22" t="s">
        <v>17</v>
      </c>
      <c r="B158" s="23" t="s">
        <v>72</v>
      </c>
      <c r="C158" s="24">
        <v>2012</v>
      </c>
      <c r="D158" s="23" t="s">
        <v>49</v>
      </c>
      <c r="E158" s="8">
        <v>26</v>
      </c>
      <c r="F158" s="8">
        <v>68</v>
      </c>
      <c r="G158" s="9">
        <f t="shared" si="24"/>
        <v>42</v>
      </c>
      <c r="H158" s="10">
        <f t="shared" si="25"/>
        <v>1.6153846153846154</v>
      </c>
      <c r="I158" s="11">
        <v>4694.82</v>
      </c>
      <c r="J158" s="11">
        <v>12278.76</v>
      </c>
      <c r="K158" s="12">
        <f t="shared" si="26"/>
        <v>7583.9400000000005</v>
      </c>
      <c r="L158" s="11">
        <f t="shared" si="27"/>
        <v>180.57</v>
      </c>
      <c r="M158" s="11">
        <f t="shared" si="28"/>
        <v>180.57</v>
      </c>
      <c r="N158" s="25">
        <f t="shared" si="29"/>
        <v>0</v>
      </c>
    </row>
    <row r="159" spans="1:14" ht="32.1" customHeight="1">
      <c r="A159" s="22" t="s">
        <v>17</v>
      </c>
      <c r="B159" s="23" t="s">
        <v>70</v>
      </c>
      <c r="C159" s="24">
        <v>22721</v>
      </c>
      <c r="D159" s="23" t="s">
        <v>50</v>
      </c>
      <c r="E159" s="8">
        <v>51</v>
      </c>
      <c r="F159" s="8">
        <v>84</v>
      </c>
      <c r="G159" s="9">
        <f t="shared" si="24"/>
        <v>33</v>
      </c>
      <c r="H159" s="10">
        <f t="shared" si="25"/>
        <v>0.6470588235294118</v>
      </c>
      <c r="I159" s="11">
        <v>21987.119999999999</v>
      </c>
      <c r="J159" s="11">
        <v>36214.080000000002</v>
      </c>
      <c r="K159" s="12">
        <f t="shared" si="26"/>
        <v>14226.960000000003</v>
      </c>
      <c r="L159" s="11">
        <f t="shared" si="27"/>
        <v>431.12</v>
      </c>
      <c r="M159" s="11">
        <f t="shared" si="28"/>
        <v>431.12</v>
      </c>
      <c r="N159" s="25">
        <f t="shared" si="29"/>
        <v>0</v>
      </c>
    </row>
    <row r="160" spans="1:14" ht="32.1" customHeight="1">
      <c r="A160" s="22" t="s">
        <v>17</v>
      </c>
      <c r="B160" s="23" t="s">
        <v>73</v>
      </c>
      <c r="C160" s="24">
        <v>1441</v>
      </c>
      <c r="D160" s="23" t="s">
        <v>30</v>
      </c>
      <c r="E160" s="8">
        <v>32</v>
      </c>
      <c r="F160" s="8">
        <v>64</v>
      </c>
      <c r="G160" s="9">
        <f t="shared" si="24"/>
        <v>32</v>
      </c>
      <c r="H160" s="10">
        <f t="shared" si="25"/>
        <v>1</v>
      </c>
      <c r="I160" s="11">
        <v>15996.16</v>
      </c>
      <c r="J160" s="11">
        <v>31992.32</v>
      </c>
      <c r="K160" s="12">
        <f t="shared" si="26"/>
        <v>15996.16</v>
      </c>
      <c r="L160" s="11">
        <f t="shared" si="27"/>
        <v>499.88</v>
      </c>
      <c r="M160" s="11">
        <f t="shared" si="28"/>
        <v>499.88</v>
      </c>
      <c r="N160" s="25">
        <f t="shared" si="29"/>
        <v>0</v>
      </c>
    </row>
    <row r="161" spans="1:14" ht="32.1" customHeight="1">
      <c r="A161" s="22" t="s">
        <v>17</v>
      </c>
      <c r="B161" s="23" t="s">
        <v>70</v>
      </c>
      <c r="C161" s="24">
        <v>1981</v>
      </c>
      <c r="D161" s="23" t="s">
        <v>26</v>
      </c>
      <c r="E161" s="8">
        <v>53</v>
      </c>
      <c r="F161" s="8">
        <v>78</v>
      </c>
      <c r="G161" s="9">
        <f t="shared" si="24"/>
        <v>25</v>
      </c>
      <c r="H161" s="10">
        <f t="shared" si="25"/>
        <v>0.47169811320754718</v>
      </c>
      <c r="I161" s="11">
        <v>47878.080000000002</v>
      </c>
      <c r="J161" s="11">
        <v>70462.080000000002</v>
      </c>
      <c r="K161" s="12">
        <f t="shared" si="26"/>
        <v>22584</v>
      </c>
      <c r="L161" s="11">
        <f t="shared" si="27"/>
        <v>903.36</v>
      </c>
      <c r="M161" s="11">
        <f t="shared" si="28"/>
        <v>903.36</v>
      </c>
      <c r="N161" s="25">
        <f t="shared" si="29"/>
        <v>0</v>
      </c>
    </row>
    <row r="162" spans="1:14" ht="32.1" customHeight="1">
      <c r="A162" s="22" t="s">
        <v>17</v>
      </c>
      <c r="B162" s="23" t="s">
        <v>72</v>
      </c>
      <c r="C162" s="24">
        <v>2013</v>
      </c>
      <c r="D162" s="23" t="s">
        <v>61</v>
      </c>
      <c r="E162" s="8">
        <v>13</v>
      </c>
      <c r="F162" s="8">
        <v>36</v>
      </c>
      <c r="G162" s="9">
        <f t="shared" si="24"/>
        <v>23</v>
      </c>
      <c r="H162" s="10">
        <f t="shared" si="25"/>
        <v>1.7692307692307692</v>
      </c>
      <c r="I162" s="11">
        <v>2347.41</v>
      </c>
      <c r="J162" s="11">
        <v>6500.52</v>
      </c>
      <c r="K162" s="12">
        <f t="shared" si="26"/>
        <v>4153.1100000000006</v>
      </c>
      <c r="L162" s="11">
        <f t="shared" si="27"/>
        <v>180.57</v>
      </c>
      <c r="M162" s="11">
        <f t="shared" si="28"/>
        <v>180.57000000000002</v>
      </c>
      <c r="N162" s="25">
        <f t="shared" si="29"/>
        <v>2.8421709430404007E-14</v>
      </c>
    </row>
    <row r="163" spans="1:14" ht="32.1" customHeight="1">
      <c r="A163" s="22" t="s">
        <v>17</v>
      </c>
      <c r="B163" s="23" t="s">
        <v>74</v>
      </c>
      <c r="C163" s="24">
        <v>1983</v>
      </c>
      <c r="D163" s="23" t="s">
        <v>63</v>
      </c>
      <c r="E163" s="8">
        <v>10</v>
      </c>
      <c r="F163" s="8">
        <v>28</v>
      </c>
      <c r="G163" s="9">
        <f t="shared" si="24"/>
        <v>18</v>
      </c>
      <c r="H163" s="10">
        <f t="shared" si="25"/>
        <v>1.8</v>
      </c>
      <c r="I163" s="11">
        <v>34464</v>
      </c>
      <c r="J163" s="11">
        <v>96499.199999999997</v>
      </c>
      <c r="K163" s="12">
        <f t="shared" si="26"/>
        <v>62035.199999999997</v>
      </c>
      <c r="L163" s="11">
        <f t="shared" si="27"/>
        <v>3446.4</v>
      </c>
      <c r="M163" s="11">
        <f t="shared" si="28"/>
        <v>3446.4</v>
      </c>
      <c r="N163" s="25">
        <f t="shared" si="29"/>
        <v>0</v>
      </c>
    </row>
    <row r="164" spans="1:14" ht="32.1" customHeight="1">
      <c r="A164" s="22" t="s">
        <v>17</v>
      </c>
      <c r="B164" s="23" t="s">
        <v>70</v>
      </c>
      <c r="C164" s="24">
        <v>22722</v>
      </c>
      <c r="D164" s="23" t="s">
        <v>28</v>
      </c>
      <c r="E164" s="8">
        <v>24</v>
      </c>
      <c r="F164" s="8">
        <v>38</v>
      </c>
      <c r="G164" s="9">
        <f t="shared" si="24"/>
        <v>14</v>
      </c>
      <c r="H164" s="10">
        <f t="shared" si="25"/>
        <v>0.58333333333333337</v>
      </c>
      <c r="I164" s="11">
        <v>12499.44</v>
      </c>
      <c r="J164" s="11">
        <v>19790.78</v>
      </c>
      <c r="K164" s="12">
        <f t="shared" si="26"/>
        <v>7291.3399999999983</v>
      </c>
      <c r="L164" s="11">
        <f t="shared" si="27"/>
        <v>520.81000000000006</v>
      </c>
      <c r="M164" s="11">
        <f t="shared" si="28"/>
        <v>520.80999999999995</v>
      </c>
      <c r="N164" s="25">
        <f t="shared" si="29"/>
        <v>-1.1368683772161603E-13</v>
      </c>
    </row>
    <row r="165" spans="1:14" ht="32.1" customHeight="1">
      <c r="A165" s="22" t="s">
        <v>17</v>
      </c>
      <c r="B165" s="23" t="s">
        <v>70</v>
      </c>
      <c r="C165" s="24">
        <v>1980</v>
      </c>
      <c r="D165" s="23" t="s">
        <v>90</v>
      </c>
      <c r="E165" s="8">
        <v>0</v>
      </c>
      <c r="F165" s="8">
        <v>10</v>
      </c>
      <c r="G165" s="9">
        <f t="shared" si="24"/>
        <v>10</v>
      </c>
      <c r="H165" s="10" t="str">
        <f t="shared" si="25"/>
        <v/>
      </c>
      <c r="I165" s="11">
        <v>0</v>
      </c>
      <c r="J165" s="11">
        <v>15545.3</v>
      </c>
      <c r="K165" s="12">
        <f t="shared" si="26"/>
        <v>15545.3</v>
      </c>
      <c r="L165" s="11" t="str">
        <f t="shared" si="27"/>
        <v/>
      </c>
      <c r="M165" s="11">
        <f t="shared" si="28"/>
        <v>1554.53</v>
      </c>
      <c r="N165" s="25" t="str">
        <f t="shared" si="29"/>
        <v/>
      </c>
    </row>
    <row r="166" spans="1:14" ht="32.1" customHeight="1">
      <c r="A166" s="22" t="s">
        <v>17</v>
      </c>
      <c r="B166" s="23" t="s">
        <v>72</v>
      </c>
      <c r="C166" s="24">
        <v>2014</v>
      </c>
      <c r="D166" s="23" t="s">
        <v>81</v>
      </c>
      <c r="E166" s="8">
        <v>12</v>
      </c>
      <c r="F166" s="8">
        <v>22</v>
      </c>
      <c r="G166" s="9">
        <f t="shared" ref="G166:G178" si="30">F166-E166</f>
        <v>10</v>
      </c>
      <c r="H166" s="10">
        <f t="shared" ref="H166:H178" si="31">IF(E166=0,"",G166/E166)</f>
        <v>0.83333333333333337</v>
      </c>
      <c r="I166" s="11">
        <v>459</v>
      </c>
      <c r="J166" s="11">
        <v>841.5</v>
      </c>
      <c r="K166" s="12">
        <f t="shared" ref="K166:K178" si="32">J166-I166</f>
        <v>382.5</v>
      </c>
      <c r="L166" s="11">
        <f t="shared" ref="L166:L178" si="33">IF(E166=0,"",I166/E166)</f>
        <v>38.25</v>
      </c>
      <c r="M166" s="11">
        <f t="shared" ref="M166:M178" si="34">IF(F166=0,"",J166/F166)</f>
        <v>38.25</v>
      </c>
      <c r="N166" s="25">
        <f t="shared" ref="N166:N178" si="35">IF(OR(L166="",M166=""),"",M166-L166)</f>
        <v>0</v>
      </c>
    </row>
    <row r="167" spans="1:14" ht="32.1" customHeight="1">
      <c r="A167" s="22" t="s">
        <v>17</v>
      </c>
      <c r="B167" s="23" t="s">
        <v>71</v>
      </c>
      <c r="C167" s="24">
        <v>8003</v>
      </c>
      <c r="D167" s="23" t="s">
        <v>25</v>
      </c>
      <c r="E167" s="8">
        <v>0</v>
      </c>
      <c r="F167" s="8">
        <v>3</v>
      </c>
      <c r="G167" s="9">
        <f t="shared" si="30"/>
        <v>3</v>
      </c>
      <c r="H167" s="10" t="str">
        <f t="shared" si="31"/>
        <v/>
      </c>
      <c r="I167" s="11">
        <v>0</v>
      </c>
      <c r="J167" s="11">
        <v>1625.97</v>
      </c>
      <c r="K167" s="12">
        <f t="shared" si="32"/>
        <v>1625.97</v>
      </c>
      <c r="L167" s="11" t="str">
        <f t="shared" si="33"/>
        <v/>
      </c>
      <c r="M167" s="11">
        <f t="shared" si="34"/>
        <v>541.99</v>
      </c>
      <c r="N167" s="25" t="str">
        <f t="shared" si="35"/>
        <v/>
      </c>
    </row>
    <row r="168" spans="1:14" ht="32.1" customHeight="1">
      <c r="A168" s="22" t="s">
        <v>17</v>
      </c>
      <c r="B168" s="23" t="s">
        <v>71</v>
      </c>
      <c r="C168" s="24">
        <v>8085</v>
      </c>
      <c r="D168" s="23" t="s">
        <v>93</v>
      </c>
      <c r="E168" s="8">
        <v>0</v>
      </c>
      <c r="F168" s="8">
        <v>1</v>
      </c>
      <c r="G168" s="9">
        <f t="shared" si="30"/>
        <v>1</v>
      </c>
      <c r="H168" s="10" t="str">
        <f t="shared" si="31"/>
        <v/>
      </c>
      <c r="I168" s="11">
        <v>0</v>
      </c>
      <c r="J168" s="11">
        <v>2962.8</v>
      </c>
      <c r="K168" s="12">
        <f t="shared" si="32"/>
        <v>2962.8</v>
      </c>
      <c r="L168" s="11" t="str">
        <f t="shared" si="33"/>
        <v/>
      </c>
      <c r="M168" s="11">
        <f t="shared" si="34"/>
        <v>2962.8</v>
      </c>
      <c r="N168" s="25" t="str">
        <f t="shared" si="35"/>
        <v/>
      </c>
    </row>
    <row r="169" spans="1:14" ht="32.1" customHeight="1">
      <c r="A169" s="22" t="s">
        <v>17</v>
      </c>
      <c r="B169" s="23" t="s">
        <v>70</v>
      </c>
      <c r="C169" s="24">
        <v>1982</v>
      </c>
      <c r="D169" s="23" t="s">
        <v>100</v>
      </c>
      <c r="E169" s="8">
        <v>2</v>
      </c>
      <c r="F169" s="8">
        <v>2</v>
      </c>
      <c r="G169" s="9">
        <f t="shared" si="30"/>
        <v>0</v>
      </c>
      <c r="H169" s="10">
        <f t="shared" si="31"/>
        <v>0</v>
      </c>
      <c r="I169" s="11">
        <v>1567.24</v>
      </c>
      <c r="J169" s="11">
        <v>1567.24</v>
      </c>
      <c r="K169" s="12">
        <f t="shared" si="32"/>
        <v>0</v>
      </c>
      <c r="L169" s="11">
        <f t="shared" si="33"/>
        <v>783.62</v>
      </c>
      <c r="M169" s="11">
        <f t="shared" si="34"/>
        <v>783.62</v>
      </c>
      <c r="N169" s="25">
        <f t="shared" si="35"/>
        <v>0</v>
      </c>
    </row>
    <row r="170" spans="1:14" ht="32.1" customHeight="1">
      <c r="A170" s="22" t="s">
        <v>17</v>
      </c>
      <c r="B170" s="23" t="s">
        <v>71</v>
      </c>
      <c r="C170" s="24">
        <v>8075</v>
      </c>
      <c r="D170" s="23" t="s">
        <v>99</v>
      </c>
      <c r="E170" s="8">
        <v>1</v>
      </c>
      <c r="F170" s="8">
        <v>0</v>
      </c>
      <c r="G170" s="9">
        <f t="shared" si="30"/>
        <v>-1</v>
      </c>
      <c r="H170" s="10">
        <f t="shared" si="31"/>
        <v>-1</v>
      </c>
      <c r="I170" s="11">
        <v>178.98</v>
      </c>
      <c r="J170" s="11">
        <v>0</v>
      </c>
      <c r="K170" s="12">
        <f t="shared" si="32"/>
        <v>-178.98</v>
      </c>
      <c r="L170" s="11">
        <f t="shared" si="33"/>
        <v>178.98</v>
      </c>
      <c r="M170" s="11" t="str">
        <f t="shared" si="34"/>
        <v/>
      </c>
      <c r="N170" s="25" t="str">
        <f t="shared" si="35"/>
        <v/>
      </c>
    </row>
    <row r="171" spans="1:14" ht="32.1" customHeight="1">
      <c r="A171" s="22" t="s">
        <v>17</v>
      </c>
      <c r="B171" s="23" t="s">
        <v>70</v>
      </c>
      <c r="C171" s="24">
        <v>40022</v>
      </c>
      <c r="D171" s="23" t="s">
        <v>87</v>
      </c>
      <c r="E171" s="8">
        <v>1</v>
      </c>
      <c r="F171" s="8">
        <v>0</v>
      </c>
      <c r="G171" s="9">
        <f t="shared" si="30"/>
        <v>-1</v>
      </c>
      <c r="H171" s="10">
        <f t="shared" si="31"/>
        <v>-1</v>
      </c>
      <c r="I171" s="11">
        <v>239.31</v>
      </c>
      <c r="J171" s="11">
        <v>0</v>
      </c>
      <c r="K171" s="12">
        <f t="shared" si="32"/>
        <v>-239.31</v>
      </c>
      <c r="L171" s="11">
        <f t="shared" si="33"/>
        <v>239.31</v>
      </c>
      <c r="M171" s="11" t="str">
        <f t="shared" si="34"/>
        <v/>
      </c>
      <c r="N171" s="25" t="str">
        <f t="shared" si="35"/>
        <v/>
      </c>
    </row>
    <row r="172" spans="1:14" ht="32.1" customHeight="1">
      <c r="A172" s="22" t="s">
        <v>17</v>
      </c>
      <c r="B172" s="23" t="s">
        <v>70</v>
      </c>
      <c r="C172" s="24">
        <v>40115</v>
      </c>
      <c r="D172" s="23" t="s">
        <v>68</v>
      </c>
      <c r="E172" s="8">
        <v>3</v>
      </c>
      <c r="F172" s="8">
        <v>0</v>
      </c>
      <c r="G172" s="9">
        <f t="shared" si="30"/>
        <v>-3</v>
      </c>
      <c r="H172" s="10">
        <f t="shared" si="31"/>
        <v>-1</v>
      </c>
      <c r="I172" s="11">
        <v>1855.08</v>
      </c>
      <c r="J172" s="11">
        <v>0</v>
      </c>
      <c r="K172" s="12">
        <f t="shared" si="32"/>
        <v>-1855.08</v>
      </c>
      <c r="L172" s="11">
        <f t="shared" si="33"/>
        <v>618.36</v>
      </c>
      <c r="M172" s="11" t="str">
        <f t="shared" si="34"/>
        <v/>
      </c>
      <c r="N172" s="25" t="str">
        <f t="shared" si="35"/>
        <v/>
      </c>
    </row>
    <row r="173" spans="1:14" ht="32.1" customHeight="1">
      <c r="A173" s="22" t="s">
        <v>17</v>
      </c>
      <c r="B173" s="23" t="s">
        <v>70</v>
      </c>
      <c r="C173" s="24">
        <v>40023</v>
      </c>
      <c r="D173" s="23" t="s">
        <v>67</v>
      </c>
      <c r="E173" s="8">
        <v>4</v>
      </c>
      <c r="F173" s="8">
        <v>0</v>
      </c>
      <c r="G173" s="9">
        <f t="shared" si="30"/>
        <v>-4</v>
      </c>
      <c r="H173" s="10">
        <f t="shared" si="31"/>
        <v>-1</v>
      </c>
      <c r="I173" s="11">
        <v>1244.3599999999999</v>
      </c>
      <c r="J173" s="11">
        <v>0</v>
      </c>
      <c r="K173" s="12">
        <f t="shared" si="32"/>
        <v>-1244.3599999999999</v>
      </c>
      <c r="L173" s="11">
        <f t="shared" si="33"/>
        <v>311.08999999999997</v>
      </c>
      <c r="M173" s="11" t="str">
        <f t="shared" si="34"/>
        <v/>
      </c>
      <c r="N173" s="25" t="str">
        <f t="shared" si="35"/>
        <v/>
      </c>
    </row>
    <row r="174" spans="1:14" ht="32.1" customHeight="1">
      <c r="A174" s="22" t="s">
        <v>17</v>
      </c>
      <c r="B174" s="23" t="s">
        <v>75</v>
      </c>
      <c r="C174" s="24">
        <v>40054</v>
      </c>
      <c r="D174" s="23" t="s">
        <v>29</v>
      </c>
      <c r="E174" s="8">
        <v>11</v>
      </c>
      <c r="F174" s="8">
        <v>0</v>
      </c>
      <c r="G174" s="9">
        <f t="shared" si="30"/>
        <v>-11</v>
      </c>
      <c r="H174" s="10">
        <f t="shared" si="31"/>
        <v>-1</v>
      </c>
      <c r="I174" s="11">
        <v>1476.75</v>
      </c>
      <c r="J174" s="11">
        <v>0</v>
      </c>
      <c r="K174" s="12">
        <f t="shared" si="32"/>
        <v>-1476.75</v>
      </c>
      <c r="L174" s="11">
        <f t="shared" si="33"/>
        <v>134.25</v>
      </c>
      <c r="M174" s="11" t="str">
        <f t="shared" si="34"/>
        <v/>
      </c>
      <c r="N174" s="25" t="str">
        <f t="shared" si="35"/>
        <v/>
      </c>
    </row>
    <row r="175" spans="1:14" ht="32.1" customHeight="1">
      <c r="A175" s="22" t="s">
        <v>17</v>
      </c>
      <c r="B175" s="23" t="s">
        <v>70</v>
      </c>
      <c r="C175" s="24">
        <v>40092</v>
      </c>
      <c r="D175" s="23" t="s">
        <v>66</v>
      </c>
      <c r="E175" s="8">
        <v>11</v>
      </c>
      <c r="F175" s="8">
        <v>0</v>
      </c>
      <c r="G175" s="9">
        <f t="shared" si="30"/>
        <v>-11</v>
      </c>
      <c r="H175" s="10">
        <f t="shared" si="31"/>
        <v>-1</v>
      </c>
      <c r="I175" s="11">
        <v>5296.61</v>
      </c>
      <c r="J175" s="11">
        <v>0</v>
      </c>
      <c r="K175" s="12">
        <f t="shared" si="32"/>
        <v>-5296.61</v>
      </c>
      <c r="L175" s="11">
        <f t="shared" si="33"/>
        <v>481.51</v>
      </c>
      <c r="M175" s="11" t="str">
        <f t="shared" si="34"/>
        <v/>
      </c>
      <c r="N175" s="25" t="str">
        <f t="shared" si="35"/>
        <v/>
      </c>
    </row>
    <row r="176" spans="1:14" ht="32.1" customHeight="1">
      <c r="A176" s="22" t="s">
        <v>17</v>
      </c>
      <c r="B176" s="23" t="s">
        <v>75</v>
      </c>
      <c r="C176" s="24">
        <v>40052</v>
      </c>
      <c r="D176" s="23" t="s">
        <v>31</v>
      </c>
      <c r="E176" s="8">
        <v>15</v>
      </c>
      <c r="F176" s="8">
        <v>1</v>
      </c>
      <c r="G176" s="9">
        <f t="shared" si="30"/>
        <v>-14</v>
      </c>
      <c r="H176" s="10">
        <f t="shared" si="31"/>
        <v>-0.93333333333333335</v>
      </c>
      <c r="I176" s="11">
        <v>2135.1</v>
      </c>
      <c r="J176" s="11">
        <v>142.34</v>
      </c>
      <c r="K176" s="12">
        <f t="shared" si="32"/>
        <v>-1992.76</v>
      </c>
      <c r="L176" s="11">
        <f t="shared" si="33"/>
        <v>142.34</v>
      </c>
      <c r="M176" s="11">
        <f t="shared" si="34"/>
        <v>142.34</v>
      </c>
      <c r="N176" s="25">
        <f t="shared" si="35"/>
        <v>0</v>
      </c>
    </row>
    <row r="177" spans="1:14" ht="32.1" customHeight="1">
      <c r="A177" s="22" t="s">
        <v>17</v>
      </c>
      <c r="B177" s="23" t="s">
        <v>75</v>
      </c>
      <c r="C177" s="24">
        <v>40095</v>
      </c>
      <c r="D177" s="23" t="s">
        <v>33</v>
      </c>
      <c r="E177" s="8">
        <v>19</v>
      </c>
      <c r="F177" s="8">
        <v>0</v>
      </c>
      <c r="G177" s="9">
        <f t="shared" si="30"/>
        <v>-19</v>
      </c>
      <c r="H177" s="10">
        <f t="shared" si="31"/>
        <v>-1</v>
      </c>
      <c r="I177" s="11">
        <v>13442.88</v>
      </c>
      <c r="J177" s="11">
        <v>0</v>
      </c>
      <c r="K177" s="12">
        <f t="shared" si="32"/>
        <v>-13442.88</v>
      </c>
      <c r="L177" s="11">
        <f t="shared" si="33"/>
        <v>707.52</v>
      </c>
      <c r="M177" s="11" t="str">
        <f t="shared" si="34"/>
        <v/>
      </c>
      <c r="N177" s="25" t="str">
        <f t="shared" si="35"/>
        <v/>
      </c>
    </row>
    <row r="178" spans="1:14" ht="32.1" customHeight="1">
      <c r="A178" s="26" t="s">
        <v>17</v>
      </c>
      <c r="B178" s="27" t="s">
        <v>75</v>
      </c>
      <c r="C178" s="28">
        <v>40021</v>
      </c>
      <c r="D178" s="27" t="s">
        <v>27</v>
      </c>
      <c r="E178" s="16">
        <v>27</v>
      </c>
      <c r="F178" s="16">
        <v>1</v>
      </c>
      <c r="G178" s="17">
        <f t="shared" si="30"/>
        <v>-26</v>
      </c>
      <c r="H178" s="18">
        <f t="shared" si="31"/>
        <v>-0.96296296296296291</v>
      </c>
      <c r="I178" s="19">
        <v>6825.6</v>
      </c>
      <c r="J178" s="19">
        <v>252.8</v>
      </c>
      <c r="K178" s="20">
        <f t="shared" si="32"/>
        <v>-6572.8</v>
      </c>
      <c r="L178" s="19">
        <f t="shared" si="33"/>
        <v>252.8</v>
      </c>
      <c r="M178" s="19">
        <f t="shared" si="34"/>
        <v>252.8</v>
      </c>
      <c r="N178" s="29">
        <f t="shared" si="35"/>
        <v>0</v>
      </c>
    </row>
  </sheetData>
  <mergeCells count="2">
    <mergeCell ref="A1:N1"/>
    <mergeCell ref="A2:N2"/>
  </mergeCells>
  <conditionalFormatting sqref="G6:G178">
    <cfRule type="cellIs" dxfId="19" priority="1" operator="greaterThan">
      <formula>0</formula>
    </cfRule>
    <cfRule type="cellIs" dxfId="18" priority="2" operator="lessThan">
      <formula>0</formula>
    </cfRule>
  </conditionalFormatting>
  <conditionalFormatting sqref="K6:K178">
    <cfRule type="cellIs" dxfId="17" priority="3" operator="greaterThan">
      <formula>0</formula>
    </cfRule>
    <cfRule type="cellIs" dxfId="16" priority="4" operator="lessThan">
      <formula>0</formula>
    </cfRule>
  </conditionalFormatting>
  <conditionalFormatting sqref="N6:N178">
    <cfRule type="cellIs" dxfId="15" priority="5" operator="greaterThan">
      <formula>0</formula>
    </cfRule>
    <cfRule type="cellIs" dxfId="14" priority="6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N196"/>
  <sheetViews>
    <sheetView showGridLines="0" tabSelected="1" workbookViewId="0">
      <pane xSplit="2" ySplit="4" topLeftCell="C5" activePane="bottomRight" state="frozen"/>
      <selection activeCell="E3" sqref="E3"/>
      <selection pane="topRight" activeCell="E3" sqref="E3"/>
      <selection pane="bottomLeft" activeCell="E3" sqref="E3"/>
      <selection pane="bottomRight" activeCell="E3" sqref="E3"/>
    </sheetView>
  </sheetViews>
  <sheetFormatPr defaultRowHeight="14.25"/>
  <cols>
    <col min="1" max="1" width="26" customWidth="1"/>
    <col min="2" max="2" width="28" customWidth="1"/>
    <col min="3" max="4" width="13" customWidth="1"/>
    <col min="5" max="6" width="12" customWidth="1"/>
    <col min="7" max="9" width="16" customWidth="1"/>
    <col min="10" max="11" width="17" customWidth="1"/>
    <col min="12" max="12" width="16" customWidth="1"/>
    <col min="13" max="14" width="13" customWidth="1"/>
  </cols>
  <sheetData>
    <row r="1" spans="1:14" ht="30" customHeight="1">
      <c r="A1" s="65" t="s">
        <v>111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8.25">
      <c r="A4" s="3" t="s">
        <v>1</v>
      </c>
      <c r="B4" s="4" t="s">
        <v>112</v>
      </c>
      <c r="C4" s="4" t="s">
        <v>38</v>
      </c>
      <c r="D4" s="4" t="s">
        <v>39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40</v>
      </c>
      <c r="N4" s="5" t="s">
        <v>41</v>
      </c>
    </row>
    <row r="5" spans="1:14" ht="23.1" customHeight="1">
      <c r="A5" s="6" t="s">
        <v>14</v>
      </c>
      <c r="B5" s="7" t="s">
        <v>113</v>
      </c>
      <c r="C5" s="8">
        <v>0</v>
      </c>
      <c r="D5" s="8">
        <v>248</v>
      </c>
      <c r="E5" s="9">
        <f t="shared" ref="E5:E36" si="0">D5-C5</f>
        <v>248</v>
      </c>
      <c r="F5" s="10" t="str">
        <f t="shared" ref="F5:F36" si="1">IF(C5=0,"",E5/C5)</f>
        <v/>
      </c>
      <c r="G5" s="11">
        <v>0</v>
      </c>
      <c r="H5" s="11">
        <v>155672.34</v>
      </c>
      <c r="I5" s="12">
        <f t="shared" ref="I5:I36" si="2">H5-G5</f>
        <v>155672.34</v>
      </c>
      <c r="J5" s="11" t="str">
        <f t="shared" ref="J5:J36" si="3">IF(C5=0,"",G5/C5)</f>
        <v/>
      </c>
      <c r="K5" s="11">
        <f t="shared" ref="K5:K36" si="4">IF(D5=0,"",H5/D5)</f>
        <v>627.71104838709675</v>
      </c>
      <c r="L5" s="12" t="str">
        <f t="shared" ref="L5:L36" si="5">IF(OR(J5="",K5=""),"",K5-J5)</f>
        <v/>
      </c>
      <c r="M5" s="8">
        <v>0</v>
      </c>
      <c r="N5" s="13">
        <v>12</v>
      </c>
    </row>
    <row r="6" spans="1:14" ht="23.1" customHeight="1">
      <c r="A6" s="6" t="s">
        <v>14</v>
      </c>
      <c r="B6" s="7" t="s">
        <v>114</v>
      </c>
      <c r="C6" s="8">
        <v>39</v>
      </c>
      <c r="D6" s="8">
        <v>251</v>
      </c>
      <c r="E6" s="9">
        <f t="shared" si="0"/>
        <v>212</v>
      </c>
      <c r="F6" s="10">
        <f t="shared" si="1"/>
        <v>5.4358974358974361</v>
      </c>
      <c r="G6" s="11">
        <v>30194.76</v>
      </c>
      <c r="H6" s="11">
        <v>152503.54999999999</v>
      </c>
      <c r="I6" s="12">
        <f t="shared" si="2"/>
        <v>122308.79</v>
      </c>
      <c r="J6" s="11">
        <f t="shared" si="3"/>
        <v>774.22461538461539</v>
      </c>
      <c r="K6" s="11">
        <f t="shared" si="4"/>
        <v>607.58386454183267</v>
      </c>
      <c r="L6" s="12">
        <f t="shared" si="5"/>
        <v>-166.64075084278272</v>
      </c>
      <c r="M6" s="8">
        <v>11</v>
      </c>
      <c r="N6" s="13">
        <v>12</v>
      </c>
    </row>
    <row r="7" spans="1:14" ht="23.1" customHeight="1">
      <c r="A7" s="6" t="s">
        <v>14</v>
      </c>
      <c r="B7" s="7" t="s">
        <v>115</v>
      </c>
      <c r="C7" s="8">
        <v>0</v>
      </c>
      <c r="D7" s="8">
        <v>196</v>
      </c>
      <c r="E7" s="9">
        <f t="shared" si="0"/>
        <v>196</v>
      </c>
      <c r="F7" s="10" t="str">
        <f t="shared" si="1"/>
        <v/>
      </c>
      <c r="G7" s="11">
        <v>0</v>
      </c>
      <c r="H7" s="11">
        <v>127670.07</v>
      </c>
      <c r="I7" s="12">
        <f t="shared" si="2"/>
        <v>127670.07</v>
      </c>
      <c r="J7" s="11" t="str">
        <f t="shared" si="3"/>
        <v/>
      </c>
      <c r="K7" s="11">
        <f t="shared" si="4"/>
        <v>651.37790816326537</v>
      </c>
      <c r="L7" s="12" t="str">
        <f t="shared" si="5"/>
        <v/>
      </c>
      <c r="M7" s="8">
        <v>0</v>
      </c>
      <c r="N7" s="13">
        <v>13</v>
      </c>
    </row>
    <row r="8" spans="1:14" ht="23.1" customHeight="1">
      <c r="A8" s="6" t="s">
        <v>14</v>
      </c>
      <c r="B8" s="7" t="s">
        <v>116</v>
      </c>
      <c r="C8" s="8">
        <v>182</v>
      </c>
      <c r="D8" s="8">
        <v>0</v>
      </c>
      <c r="E8" s="9">
        <f t="shared" si="0"/>
        <v>-182</v>
      </c>
      <c r="F8" s="10">
        <f t="shared" si="1"/>
        <v>-1</v>
      </c>
      <c r="G8" s="11">
        <v>143143.21</v>
      </c>
      <c r="H8" s="11">
        <v>0</v>
      </c>
      <c r="I8" s="12">
        <f t="shared" si="2"/>
        <v>-143143.21</v>
      </c>
      <c r="J8" s="11">
        <f t="shared" si="3"/>
        <v>786.50115384615378</v>
      </c>
      <c r="K8" s="11" t="str">
        <f t="shared" si="4"/>
        <v/>
      </c>
      <c r="L8" s="12" t="str">
        <f t="shared" si="5"/>
        <v/>
      </c>
      <c r="M8" s="8">
        <v>14</v>
      </c>
      <c r="N8" s="13">
        <v>0</v>
      </c>
    </row>
    <row r="9" spans="1:14" ht="23.1" customHeight="1">
      <c r="A9" s="6" t="s">
        <v>14</v>
      </c>
      <c r="B9" s="7" t="s">
        <v>117</v>
      </c>
      <c r="C9" s="8">
        <v>65</v>
      </c>
      <c r="D9" s="8">
        <v>237</v>
      </c>
      <c r="E9" s="9">
        <f t="shared" si="0"/>
        <v>172</v>
      </c>
      <c r="F9" s="10">
        <f t="shared" si="1"/>
        <v>2.6461538461538461</v>
      </c>
      <c r="G9" s="11">
        <v>49873.87</v>
      </c>
      <c r="H9" s="11">
        <v>182445.22</v>
      </c>
      <c r="I9" s="12">
        <f t="shared" si="2"/>
        <v>132571.35</v>
      </c>
      <c r="J9" s="11">
        <f t="shared" si="3"/>
        <v>767.29030769230769</v>
      </c>
      <c r="K9" s="11">
        <f t="shared" si="4"/>
        <v>769.81105485232069</v>
      </c>
      <c r="L9" s="12">
        <f t="shared" si="5"/>
        <v>2.520747160013002</v>
      </c>
      <c r="M9" s="8">
        <v>9</v>
      </c>
      <c r="N9" s="13">
        <v>14</v>
      </c>
    </row>
    <row r="10" spans="1:14" ht="23.1" customHeight="1">
      <c r="A10" s="6" t="s">
        <v>14</v>
      </c>
      <c r="B10" s="7" t="s">
        <v>118</v>
      </c>
      <c r="C10" s="8">
        <v>0</v>
      </c>
      <c r="D10" s="8">
        <v>164</v>
      </c>
      <c r="E10" s="9">
        <f t="shared" si="0"/>
        <v>164</v>
      </c>
      <c r="F10" s="10" t="str">
        <f t="shared" si="1"/>
        <v/>
      </c>
      <c r="G10" s="11">
        <v>0</v>
      </c>
      <c r="H10" s="11">
        <v>84146.05</v>
      </c>
      <c r="I10" s="12">
        <f t="shared" si="2"/>
        <v>84146.05</v>
      </c>
      <c r="J10" s="11" t="str">
        <f t="shared" si="3"/>
        <v/>
      </c>
      <c r="K10" s="11">
        <f t="shared" si="4"/>
        <v>513.0856707317073</v>
      </c>
      <c r="L10" s="12" t="str">
        <f t="shared" si="5"/>
        <v/>
      </c>
      <c r="M10" s="8">
        <v>0</v>
      </c>
      <c r="N10" s="13">
        <v>10</v>
      </c>
    </row>
    <row r="11" spans="1:14" ht="23.1" customHeight="1">
      <c r="A11" s="6" t="s">
        <v>14</v>
      </c>
      <c r="B11" s="7" t="s">
        <v>119</v>
      </c>
      <c r="C11" s="8">
        <v>29</v>
      </c>
      <c r="D11" s="8">
        <v>189</v>
      </c>
      <c r="E11" s="9">
        <f t="shared" si="0"/>
        <v>160</v>
      </c>
      <c r="F11" s="10">
        <f t="shared" si="1"/>
        <v>5.5172413793103452</v>
      </c>
      <c r="G11" s="11">
        <v>22892.65</v>
      </c>
      <c r="H11" s="11">
        <v>130908.11</v>
      </c>
      <c r="I11" s="12">
        <f t="shared" si="2"/>
        <v>108015.45999999999</v>
      </c>
      <c r="J11" s="11">
        <f t="shared" si="3"/>
        <v>789.40172413793107</v>
      </c>
      <c r="K11" s="11">
        <f t="shared" si="4"/>
        <v>692.6355026455027</v>
      </c>
      <c r="L11" s="12">
        <f t="shared" si="5"/>
        <v>-96.766221492428372</v>
      </c>
      <c r="M11" s="8">
        <v>8</v>
      </c>
      <c r="N11" s="13">
        <v>12</v>
      </c>
    </row>
    <row r="12" spans="1:14" ht="23.1" customHeight="1">
      <c r="A12" s="6" t="s">
        <v>14</v>
      </c>
      <c r="B12" s="7" t="s">
        <v>120</v>
      </c>
      <c r="C12" s="8">
        <v>155</v>
      </c>
      <c r="D12" s="8">
        <v>0</v>
      </c>
      <c r="E12" s="9">
        <f t="shared" si="0"/>
        <v>-155</v>
      </c>
      <c r="F12" s="10">
        <f t="shared" si="1"/>
        <v>-1</v>
      </c>
      <c r="G12" s="11">
        <v>91280.65</v>
      </c>
      <c r="H12" s="11">
        <v>0</v>
      </c>
      <c r="I12" s="12">
        <f t="shared" si="2"/>
        <v>-91280.65</v>
      </c>
      <c r="J12" s="11">
        <f t="shared" si="3"/>
        <v>588.90741935483868</v>
      </c>
      <c r="K12" s="11" t="str">
        <f t="shared" si="4"/>
        <v/>
      </c>
      <c r="L12" s="12" t="str">
        <f t="shared" si="5"/>
        <v/>
      </c>
      <c r="M12" s="8">
        <v>12</v>
      </c>
      <c r="N12" s="13">
        <v>0</v>
      </c>
    </row>
    <row r="13" spans="1:14" ht="23.1" customHeight="1">
      <c r="A13" s="6" t="s">
        <v>14</v>
      </c>
      <c r="B13" s="7" t="s">
        <v>121</v>
      </c>
      <c r="C13" s="8">
        <v>112</v>
      </c>
      <c r="D13" s="8">
        <v>253</v>
      </c>
      <c r="E13" s="9">
        <f t="shared" si="0"/>
        <v>141</v>
      </c>
      <c r="F13" s="10">
        <f t="shared" si="1"/>
        <v>1.2589285714285714</v>
      </c>
      <c r="G13" s="11">
        <v>76341.34</v>
      </c>
      <c r="H13" s="11">
        <v>175592.98</v>
      </c>
      <c r="I13" s="12">
        <f t="shared" si="2"/>
        <v>99251.640000000014</v>
      </c>
      <c r="J13" s="11">
        <f t="shared" si="3"/>
        <v>681.61910714285716</v>
      </c>
      <c r="K13" s="11">
        <f t="shared" si="4"/>
        <v>694.04339920948621</v>
      </c>
      <c r="L13" s="12">
        <f t="shared" si="5"/>
        <v>12.42429206662905</v>
      </c>
      <c r="M13" s="8">
        <v>14</v>
      </c>
      <c r="N13" s="13">
        <v>15</v>
      </c>
    </row>
    <row r="14" spans="1:14" ht="23.1" customHeight="1">
      <c r="A14" s="6" t="s">
        <v>14</v>
      </c>
      <c r="B14" s="7" t="s">
        <v>122</v>
      </c>
      <c r="C14" s="8">
        <v>76</v>
      </c>
      <c r="D14" s="8">
        <v>204</v>
      </c>
      <c r="E14" s="9">
        <f t="shared" si="0"/>
        <v>128</v>
      </c>
      <c r="F14" s="10">
        <f t="shared" si="1"/>
        <v>1.6842105263157894</v>
      </c>
      <c r="G14" s="11">
        <v>54816.639999999999</v>
      </c>
      <c r="H14" s="11">
        <v>158214.15</v>
      </c>
      <c r="I14" s="12">
        <f t="shared" si="2"/>
        <v>103397.51</v>
      </c>
      <c r="J14" s="11">
        <f t="shared" si="3"/>
        <v>721.27157894736843</v>
      </c>
      <c r="K14" s="11">
        <f t="shared" si="4"/>
        <v>775.55955882352941</v>
      </c>
      <c r="L14" s="12">
        <f t="shared" si="5"/>
        <v>54.287979876160989</v>
      </c>
      <c r="M14" s="8">
        <v>11</v>
      </c>
      <c r="N14" s="13">
        <v>14</v>
      </c>
    </row>
    <row r="15" spans="1:14" ht="23.1" customHeight="1">
      <c r="A15" s="6" t="s">
        <v>14</v>
      </c>
      <c r="B15" s="7" t="s">
        <v>123</v>
      </c>
      <c r="C15" s="8">
        <v>131</v>
      </c>
      <c r="D15" s="8">
        <v>256</v>
      </c>
      <c r="E15" s="9">
        <f t="shared" si="0"/>
        <v>125</v>
      </c>
      <c r="F15" s="10">
        <f t="shared" si="1"/>
        <v>0.95419847328244278</v>
      </c>
      <c r="G15" s="11">
        <v>227305.13</v>
      </c>
      <c r="H15" s="11">
        <v>306485.43</v>
      </c>
      <c r="I15" s="12">
        <f t="shared" si="2"/>
        <v>79180.299999999988</v>
      </c>
      <c r="J15" s="11">
        <f t="shared" si="3"/>
        <v>1735.1536641221373</v>
      </c>
      <c r="K15" s="11">
        <f t="shared" si="4"/>
        <v>1197.2087109375</v>
      </c>
      <c r="L15" s="12">
        <f t="shared" si="5"/>
        <v>-537.94495318463737</v>
      </c>
      <c r="M15" s="8">
        <v>12</v>
      </c>
      <c r="N15" s="13">
        <v>17</v>
      </c>
    </row>
    <row r="16" spans="1:14" ht="23.1" customHeight="1">
      <c r="A16" s="6" t="s">
        <v>14</v>
      </c>
      <c r="B16" s="7" t="s">
        <v>124</v>
      </c>
      <c r="C16" s="8">
        <v>0</v>
      </c>
      <c r="D16" s="8">
        <v>116</v>
      </c>
      <c r="E16" s="9">
        <f t="shared" si="0"/>
        <v>116</v>
      </c>
      <c r="F16" s="10" t="str">
        <f t="shared" si="1"/>
        <v/>
      </c>
      <c r="G16" s="11">
        <v>0</v>
      </c>
      <c r="H16" s="11">
        <v>20215.57</v>
      </c>
      <c r="I16" s="12">
        <f t="shared" si="2"/>
        <v>20215.57</v>
      </c>
      <c r="J16" s="11" t="str">
        <f t="shared" si="3"/>
        <v/>
      </c>
      <c r="K16" s="11">
        <f t="shared" si="4"/>
        <v>174.27215517241379</v>
      </c>
      <c r="L16" s="12" t="str">
        <f t="shared" si="5"/>
        <v/>
      </c>
      <c r="M16" s="8">
        <v>0</v>
      </c>
      <c r="N16" s="13">
        <v>3</v>
      </c>
    </row>
    <row r="17" spans="1:14" ht="23.1" customHeight="1">
      <c r="A17" s="6" t="s">
        <v>14</v>
      </c>
      <c r="B17" s="7" t="s">
        <v>125</v>
      </c>
      <c r="C17" s="8">
        <v>85</v>
      </c>
      <c r="D17" s="8">
        <v>190</v>
      </c>
      <c r="E17" s="9">
        <f t="shared" si="0"/>
        <v>105</v>
      </c>
      <c r="F17" s="10">
        <f t="shared" si="1"/>
        <v>1.2352941176470589</v>
      </c>
      <c r="G17" s="11">
        <v>116018.43</v>
      </c>
      <c r="H17" s="11">
        <v>233286.35</v>
      </c>
      <c r="I17" s="12">
        <f t="shared" si="2"/>
        <v>117267.92000000001</v>
      </c>
      <c r="J17" s="11">
        <f t="shared" si="3"/>
        <v>1364.9227058823528</v>
      </c>
      <c r="K17" s="11">
        <f t="shared" si="4"/>
        <v>1227.822894736842</v>
      </c>
      <c r="L17" s="12">
        <f t="shared" si="5"/>
        <v>-137.09981114551078</v>
      </c>
      <c r="M17" s="8">
        <v>8</v>
      </c>
      <c r="N17" s="13">
        <v>18</v>
      </c>
    </row>
    <row r="18" spans="1:14" ht="23.1" customHeight="1">
      <c r="A18" s="6" t="s">
        <v>14</v>
      </c>
      <c r="B18" s="7" t="s">
        <v>126</v>
      </c>
      <c r="C18" s="8">
        <v>101</v>
      </c>
      <c r="D18" s="8">
        <v>0</v>
      </c>
      <c r="E18" s="9">
        <f t="shared" si="0"/>
        <v>-101</v>
      </c>
      <c r="F18" s="10">
        <f t="shared" si="1"/>
        <v>-1</v>
      </c>
      <c r="G18" s="11">
        <v>26095.22</v>
      </c>
      <c r="H18" s="11">
        <v>0</v>
      </c>
      <c r="I18" s="12">
        <f t="shared" si="2"/>
        <v>-26095.22</v>
      </c>
      <c r="J18" s="11">
        <f t="shared" si="3"/>
        <v>258.36851485148514</v>
      </c>
      <c r="K18" s="11" t="str">
        <f t="shared" si="4"/>
        <v/>
      </c>
      <c r="L18" s="12" t="str">
        <f t="shared" si="5"/>
        <v/>
      </c>
      <c r="M18" s="8">
        <v>8</v>
      </c>
      <c r="N18" s="13">
        <v>0</v>
      </c>
    </row>
    <row r="19" spans="1:14" ht="23.1" customHeight="1">
      <c r="A19" s="6" t="s">
        <v>14</v>
      </c>
      <c r="B19" s="7" t="s">
        <v>127</v>
      </c>
      <c r="C19" s="8">
        <v>97</v>
      </c>
      <c r="D19" s="8">
        <v>0</v>
      </c>
      <c r="E19" s="9">
        <f t="shared" si="0"/>
        <v>-97</v>
      </c>
      <c r="F19" s="10">
        <f t="shared" si="1"/>
        <v>-1</v>
      </c>
      <c r="G19" s="11">
        <v>11510.09</v>
      </c>
      <c r="H19" s="11">
        <v>0</v>
      </c>
      <c r="I19" s="12">
        <f t="shared" si="2"/>
        <v>-11510.09</v>
      </c>
      <c r="J19" s="11">
        <f t="shared" si="3"/>
        <v>118.66072164948454</v>
      </c>
      <c r="K19" s="11" t="str">
        <f t="shared" si="4"/>
        <v/>
      </c>
      <c r="L19" s="12" t="str">
        <f t="shared" si="5"/>
        <v/>
      </c>
      <c r="M19" s="8">
        <v>2</v>
      </c>
      <c r="N19" s="13">
        <v>0</v>
      </c>
    </row>
    <row r="20" spans="1:14" ht="23.1" customHeight="1">
      <c r="A20" s="6" t="s">
        <v>14</v>
      </c>
      <c r="B20" s="7" t="s">
        <v>128</v>
      </c>
      <c r="C20" s="8">
        <v>398</v>
      </c>
      <c r="D20" s="8">
        <v>493</v>
      </c>
      <c r="E20" s="9">
        <f t="shared" si="0"/>
        <v>95</v>
      </c>
      <c r="F20" s="10">
        <f t="shared" si="1"/>
        <v>0.23869346733668342</v>
      </c>
      <c r="G20" s="11">
        <v>24405.360000000001</v>
      </c>
      <c r="H20" s="11">
        <v>30230.76</v>
      </c>
      <c r="I20" s="12">
        <f t="shared" si="2"/>
        <v>5825.3999999999978</v>
      </c>
      <c r="J20" s="11">
        <f t="shared" si="3"/>
        <v>61.32</v>
      </c>
      <c r="K20" s="11">
        <f t="shared" si="4"/>
        <v>61.32</v>
      </c>
      <c r="L20" s="12">
        <f t="shared" si="5"/>
        <v>0</v>
      </c>
      <c r="M20" s="8">
        <v>1</v>
      </c>
      <c r="N20" s="13">
        <v>1</v>
      </c>
    </row>
    <row r="21" spans="1:14" ht="23.1" customHeight="1">
      <c r="A21" s="6" t="s">
        <v>14</v>
      </c>
      <c r="B21" s="7" t="s">
        <v>129</v>
      </c>
      <c r="C21" s="8">
        <v>107</v>
      </c>
      <c r="D21" s="8">
        <v>200</v>
      </c>
      <c r="E21" s="9">
        <f t="shared" si="0"/>
        <v>93</v>
      </c>
      <c r="F21" s="10">
        <f t="shared" si="1"/>
        <v>0.86915887850467288</v>
      </c>
      <c r="G21" s="11">
        <v>89467.04</v>
      </c>
      <c r="H21" s="11">
        <v>121589.17</v>
      </c>
      <c r="I21" s="12">
        <f t="shared" si="2"/>
        <v>32122.130000000005</v>
      </c>
      <c r="J21" s="11">
        <f t="shared" si="3"/>
        <v>836.14056074766347</v>
      </c>
      <c r="K21" s="11">
        <f t="shared" si="4"/>
        <v>607.94584999999995</v>
      </c>
      <c r="L21" s="12">
        <f t="shared" si="5"/>
        <v>-228.19471074766352</v>
      </c>
      <c r="M21" s="8">
        <v>10</v>
      </c>
      <c r="N21" s="13">
        <v>12</v>
      </c>
    </row>
    <row r="22" spans="1:14" ht="23.1" customHeight="1">
      <c r="A22" s="6" t="s">
        <v>14</v>
      </c>
      <c r="B22" s="7" t="s">
        <v>130</v>
      </c>
      <c r="C22" s="8">
        <v>136</v>
      </c>
      <c r="D22" s="8">
        <v>47</v>
      </c>
      <c r="E22" s="9">
        <f t="shared" si="0"/>
        <v>-89</v>
      </c>
      <c r="F22" s="10">
        <f t="shared" si="1"/>
        <v>-0.65441176470588236</v>
      </c>
      <c r="G22" s="11">
        <v>123999.53</v>
      </c>
      <c r="H22" s="11">
        <v>45631.96</v>
      </c>
      <c r="I22" s="12">
        <f t="shared" si="2"/>
        <v>-78367.570000000007</v>
      </c>
      <c r="J22" s="11">
        <f t="shared" si="3"/>
        <v>911.76125000000002</v>
      </c>
      <c r="K22" s="11">
        <f t="shared" si="4"/>
        <v>970.89276595744684</v>
      </c>
      <c r="L22" s="12">
        <f t="shared" si="5"/>
        <v>59.131515957446823</v>
      </c>
      <c r="M22" s="8">
        <v>9</v>
      </c>
      <c r="N22" s="13">
        <v>8</v>
      </c>
    </row>
    <row r="23" spans="1:14" ht="23.1" customHeight="1">
      <c r="A23" s="6" t="s">
        <v>14</v>
      </c>
      <c r="B23" s="7" t="s">
        <v>131</v>
      </c>
      <c r="C23" s="8">
        <v>308</v>
      </c>
      <c r="D23" s="8">
        <v>221</v>
      </c>
      <c r="E23" s="9">
        <f t="shared" si="0"/>
        <v>-87</v>
      </c>
      <c r="F23" s="10">
        <f t="shared" si="1"/>
        <v>-0.28246753246753248</v>
      </c>
      <c r="G23" s="11">
        <v>18886.560000000001</v>
      </c>
      <c r="H23" s="11">
        <v>13797</v>
      </c>
      <c r="I23" s="12">
        <f t="shared" si="2"/>
        <v>-5089.5600000000013</v>
      </c>
      <c r="J23" s="11">
        <f t="shared" si="3"/>
        <v>61.320000000000007</v>
      </c>
      <c r="K23" s="11">
        <f t="shared" si="4"/>
        <v>62.429864253393667</v>
      </c>
      <c r="L23" s="12">
        <f t="shared" si="5"/>
        <v>1.1098642533936598</v>
      </c>
      <c r="M23" s="8">
        <v>1</v>
      </c>
      <c r="N23" s="13">
        <v>1</v>
      </c>
    </row>
    <row r="24" spans="1:14" ht="23.1" customHeight="1">
      <c r="A24" s="6" t="s">
        <v>14</v>
      </c>
      <c r="B24" s="7" t="s">
        <v>132</v>
      </c>
      <c r="C24" s="8">
        <v>435</v>
      </c>
      <c r="D24" s="8">
        <v>522</v>
      </c>
      <c r="E24" s="9">
        <f t="shared" si="0"/>
        <v>87</v>
      </c>
      <c r="F24" s="10">
        <f t="shared" si="1"/>
        <v>0.2</v>
      </c>
      <c r="G24" s="11">
        <v>26674.2</v>
      </c>
      <c r="H24" s="11">
        <v>32009.040000000001</v>
      </c>
      <c r="I24" s="12">
        <f t="shared" si="2"/>
        <v>5334.84</v>
      </c>
      <c r="J24" s="11">
        <f t="shared" si="3"/>
        <v>61.32</v>
      </c>
      <c r="K24" s="11">
        <f t="shared" si="4"/>
        <v>61.32</v>
      </c>
      <c r="L24" s="12">
        <f t="shared" si="5"/>
        <v>0</v>
      </c>
      <c r="M24" s="8">
        <v>1</v>
      </c>
      <c r="N24" s="13">
        <v>1</v>
      </c>
    </row>
    <row r="25" spans="1:14" ht="23.1" customHeight="1">
      <c r="A25" s="6" t="s">
        <v>14</v>
      </c>
      <c r="B25" s="7" t="s">
        <v>133</v>
      </c>
      <c r="C25" s="8">
        <v>145</v>
      </c>
      <c r="D25" s="8">
        <v>232</v>
      </c>
      <c r="E25" s="9">
        <f t="shared" si="0"/>
        <v>87</v>
      </c>
      <c r="F25" s="10">
        <f t="shared" si="1"/>
        <v>0.6</v>
      </c>
      <c r="G25" s="11">
        <v>84300.72</v>
      </c>
      <c r="H25" s="11">
        <v>144024.49</v>
      </c>
      <c r="I25" s="12">
        <f t="shared" si="2"/>
        <v>59723.76999999999</v>
      </c>
      <c r="J25" s="11">
        <f t="shared" si="3"/>
        <v>581.38427586206899</v>
      </c>
      <c r="K25" s="11">
        <f t="shared" si="4"/>
        <v>620.79521551724133</v>
      </c>
      <c r="L25" s="12">
        <f t="shared" si="5"/>
        <v>39.410939655172342</v>
      </c>
      <c r="M25" s="8">
        <v>11</v>
      </c>
      <c r="N25" s="13">
        <v>11</v>
      </c>
    </row>
    <row r="26" spans="1:14" ht="23.1" customHeight="1">
      <c r="A26" s="6" t="s">
        <v>14</v>
      </c>
      <c r="B26" s="7" t="s">
        <v>134</v>
      </c>
      <c r="C26" s="8">
        <v>85</v>
      </c>
      <c r="D26" s="8">
        <v>0</v>
      </c>
      <c r="E26" s="9">
        <f t="shared" si="0"/>
        <v>-85</v>
      </c>
      <c r="F26" s="10">
        <f t="shared" si="1"/>
        <v>-1</v>
      </c>
      <c r="G26" s="11">
        <v>22070.9</v>
      </c>
      <c r="H26" s="11">
        <v>0</v>
      </c>
      <c r="I26" s="12">
        <f t="shared" si="2"/>
        <v>-22070.9</v>
      </c>
      <c r="J26" s="11">
        <f t="shared" si="3"/>
        <v>259.65764705882356</v>
      </c>
      <c r="K26" s="11" t="str">
        <f t="shared" si="4"/>
        <v/>
      </c>
      <c r="L26" s="12" t="str">
        <f t="shared" si="5"/>
        <v/>
      </c>
      <c r="M26" s="8">
        <v>2</v>
      </c>
      <c r="N26" s="13">
        <v>0</v>
      </c>
    </row>
    <row r="27" spans="1:14" ht="23.1" customHeight="1">
      <c r="A27" s="6" t="s">
        <v>14</v>
      </c>
      <c r="B27" s="7" t="s">
        <v>135</v>
      </c>
      <c r="C27" s="8">
        <v>124</v>
      </c>
      <c r="D27" s="8">
        <v>41</v>
      </c>
      <c r="E27" s="9">
        <f t="shared" si="0"/>
        <v>-83</v>
      </c>
      <c r="F27" s="10">
        <f t="shared" si="1"/>
        <v>-0.66935483870967738</v>
      </c>
      <c r="G27" s="11">
        <v>98362.04</v>
      </c>
      <c r="H27" s="11">
        <v>29192.36</v>
      </c>
      <c r="I27" s="12">
        <f t="shared" si="2"/>
        <v>-69169.679999999993</v>
      </c>
      <c r="J27" s="11">
        <f t="shared" si="3"/>
        <v>793.24225806451602</v>
      </c>
      <c r="K27" s="11">
        <f t="shared" si="4"/>
        <v>712.00878048780487</v>
      </c>
      <c r="L27" s="12">
        <f t="shared" si="5"/>
        <v>-81.233477576711152</v>
      </c>
      <c r="M27" s="8">
        <v>12</v>
      </c>
      <c r="N27" s="13">
        <v>9</v>
      </c>
    </row>
    <row r="28" spans="1:14" ht="23.1" customHeight="1">
      <c r="A28" s="6" t="s">
        <v>14</v>
      </c>
      <c r="B28" s="7" t="s">
        <v>136</v>
      </c>
      <c r="C28" s="8">
        <v>2</v>
      </c>
      <c r="D28" s="8">
        <v>81</v>
      </c>
      <c r="E28" s="9">
        <f t="shared" si="0"/>
        <v>79</v>
      </c>
      <c r="F28" s="10">
        <f t="shared" si="1"/>
        <v>39.5</v>
      </c>
      <c r="G28" s="11">
        <v>295.35000000000002</v>
      </c>
      <c r="H28" s="11">
        <v>11348.76</v>
      </c>
      <c r="I28" s="12">
        <f t="shared" si="2"/>
        <v>11053.41</v>
      </c>
      <c r="J28" s="11">
        <f t="shared" si="3"/>
        <v>147.67500000000001</v>
      </c>
      <c r="K28" s="11">
        <f t="shared" si="4"/>
        <v>140.10814814814816</v>
      </c>
      <c r="L28" s="12">
        <f t="shared" si="5"/>
        <v>-7.5668518518518511</v>
      </c>
      <c r="M28" s="8">
        <v>2</v>
      </c>
      <c r="N28" s="13">
        <v>4</v>
      </c>
    </row>
    <row r="29" spans="1:14" ht="23.1" customHeight="1">
      <c r="A29" s="6" t="s">
        <v>14</v>
      </c>
      <c r="B29" s="7" t="s">
        <v>137</v>
      </c>
      <c r="C29" s="8">
        <v>49</v>
      </c>
      <c r="D29" s="8">
        <v>124</v>
      </c>
      <c r="E29" s="9">
        <f t="shared" si="0"/>
        <v>75</v>
      </c>
      <c r="F29" s="10">
        <f t="shared" si="1"/>
        <v>1.5306122448979591</v>
      </c>
      <c r="G29" s="11">
        <v>5872.65</v>
      </c>
      <c r="H29" s="11">
        <v>23939.81</v>
      </c>
      <c r="I29" s="12">
        <f t="shared" si="2"/>
        <v>18067.160000000003</v>
      </c>
      <c r="J29" s="11">
        <f t="shared" si="3"/>
        <v>119.85</v>
      </c>
      <c r="K29" s="11">
        <f t="shared" si="4"/>
        <v>193.06298387096774</v>
      </c>
      <c r="L29" s="12">
        <f t="shared" si="5"/>
        <v>73.212983870967747</v>
      </c>
      <c r="M29" s="8">
        <v>1</v>
      </c>
      <c r="N29" s="13">
        <v>3</v>
      </c>
    </row>
    <row r="30" spans="1:14" ht="23.1" customHeight="1">
      <c r="A30" s="6" t="s">
        <v>14</v>
      </c>
      <c r="B30" s="7" t="s">
        <v>138</v>
      </c>
      <c r="C30" s="8">
        <v>177</v>
      </c>
      <c r="D30" s="8">
        <v>250</v>
      </c>
      <c r="E30" s="9">
        <f t="shared" si="0"/>
        <v>73</v>
      </c>
      <c r="F30" s="10">
        <f t="shared" si="1"/>
        <v>0.41242937853107342</v>
      </c>
      <c r="G30" s="11">
        <v>129603.38</v>
      </c>
      <c r="H30" s="11">
        <v>170661.91</v>
      </c>
      <c r="I30" s="12">
        <f t="shared" si="2"/>
        <v>41058.53</v>
      </c>
      <c r="J30" s="11">
        <f t="shared" si="3"/>
        <v>732.2224858757063</v>
      </c>
      <c r="K30" s="11">
        <f t="shared" si="4"/>
        <v>682.64764000000002</v>
      </c>
      <c r="L30" s="12">
        <f t="shared" si="5"/>
        <v>-49.574845875706274</v>
      </c>
      <c r="M30" s="8">
        <v>12</v>
      </c>
      <c r="N30" s="13">
        <v>12</v>
      </c>
    </row>
    <row r="31" spans="1:14" ht="23.1" customHeight="1">
      <c r="A31" s="6" t="s">
        <v>14</v>
      </c>
      <c r="B31" s="7" t="s">
        <v>139</v>
      </c>
      <c r="C31" s="8">
        <v>144</v>
      </c>
      <c r="D31" s="8">
        <v>217</v>
      </c>
      <c r="E31" s="9">
        <f t="shared" si="0"/>
        <v>73</v>
      </c>
      <c r="F31" s="10">
        <f t="shared" si="1"/>
        <v>0.50694444444444442</v>
      </c>
      <c r="G31" s="11">
        <v>101657.26</v>
      </c>
      <c r="H31" s="11">
        <v>156124.85</v>
      </c>
      <c r="I31" s="12">
        <f t="shared" si="2"/>
        <v>54467.590000000011</v>
      </c>
      <c r="J31" s="11">
        <f t="shared" si="3"/>
        <v>705.95319444444442</v>
      </c>
      <c r="K31" s="11">
        <f t="shared" si="4"/>
        <v>719.46935483870971</v>
      </c>
      <c r="L31" s="12">
        <f t="shared" si="5"/>
        <v>13.516160394265285</v>
      </c>
      <c r="M31" s="8">
        <v>12</v>
      </c>
      <c r="N31" s="13">
        <v>12</v>
      </c>
    </row>
    <row r="32" spans="1:14" ht="23.1" customHeight="1">
      <c r="A32" s="6" t="s">
        <v>14</v>
      </c>
      <c r="B32" s="7" t="s">
        <v>140</v>
      </c>
      <c r="C32" s="8">
        <v>72</v>
      </c>
      <c r="D32" s="8">
        <v>0</v>
      </c>
      <c r="E32" s="9">
        <f t="shared" si="0"/>
        <v>-72</v>
      </c>
      <c r="F32" s="10">
        <f t="shared" si="1"/>
        <v>-1</v>
      </c>
      <c r="G32" s="11">
        <v>51685.59</v>
      </c>
      <c r="H32" s="11">
        <v>0</v>
      </c>
      <c r="I32" s="12">
        <f t="shared" si="2"/>
        <v>-51685.59</v>
      </c>
      <c r="J32" s="11">
        <f t="shared" si="3"/>
        <v>717.85541666666666</v>
      </c>
      <c r="K32" s="11" t="str">
        <f t="shared" si="4"/>
        <v/>
      </c>
      <c r="L32" s="12" t="str">
        <f t="shared" si="5"/>
        <v/>
      </c>
      <c r="M32" s="8">
        <v>10</v>
      </c>
      <c r="N32" s="13">
        <v>0</v>
      </c>
    </row>
    <row r="33" spans="1:14" ht="23.1" customHeight="1">
      <c r="A33" s="6" t="s">
        <v>14</v>
      </c>
      <c r="B33" s="7" t="s">
        <v>141</v>
      </c>
      <c r="C33" s="8">
        <v>0</v>
      </c>
      <c r="D33" s="8">
        <v>72</v>
      </c>
      <c r="E33" s="9">
        <f t="shared" si="0"/>
        <v>72</v>
      </c>
      <c r="F33" s="10" t="str">
        <f t="shared" si="1"/>
        <v/>
      </c>
      <c r="G33" s="11">
        <v>0</v>
      </c>
      <c r="H33" s="11">
        <v>45785.22</v>
      </c>
      <c r="I33" s="12">
        <f t="shared" si="2"/>
        <v>45785.22</v>
      </c>
      <c r="J33" s="11" t="str">
        <f t="shared" si="3"/>
        <v/>
      </c>
      <c r="K33" s="11">
        <f t="shared" si="4"/>
        <v>635.90583333333336</v>
      </c>
      <c r="L33" s="12" t="str">
        <f t="shared" si="5"/>
        <v/>
      </c>
      <c r="M33" s="8">
        <v>0</v>
      </c>
      <c r="N33" s="13">
        <v>10</v>
      </c>
    </row>
    <row r="34" spans="1:14" ht="23.1" customHeight="1">
      <c r="A34" s="6" t="s">
        <v>14</v>
      </c>
      <c r="B34" s="7" t="s">
        <v>142</v>
      </c>
      <c r="C34" s="8">
        <v>71</v>
      </c>
      <c r="D34" s="8">
        <v>0</v>
      </c>
      <c r="E34" s="9">
        <f t="shared" si="0"/>
        <v>-71</v>
      </c>
      <c r="F34" s="10">
        <f t="shared" si="1"/>
        <v>-1</v>
      </c>
      <c r="G34" s="11">
        <v>31795.49</v>
      </c>
      <c r="H34" s="11">
        <v>0</v>
      </c>
      <c r="I34" s="12">
        <f t="shared" si="2"/>
        <v>-31795.49</v>
      </c>
      <c r="J34" s="11">
        <f t="shared" si="3"/>
        <v>447.82380281690143</v>
      </c>
      <c r="K34" s="11" t="str">
        <f t="shared" si="4"/>
        <v/>
      </c>
      <c r="L34" s="12" t="str">
        <f t="shared" si="5"/>
        <v/>
      </c>
      <c r="M34" s="8">
        <v>2</v>
      </c>
      <c r="N34" s="13">
        <v>0</v>
      </c>
    </row>
    <row r="35" spans="1:14" ht="23.1" customHeight="1">
      <c r="A35" s="6" t="s">
        <v>14</v>
      </c>
      <c r="B35" s="7" t="s">
        <v>143</v>
      </c>
      <c r="C35" s="8">
        <v>121</v>
      </c>
      <c r="D35" s="8">
        <v>190</v>
      </c>
      <c r="E35" s="9">
        <f t="shared" si="0"/>
        <v>69</v>
      </c>
      <c r="F35" s="10">
        <f t="shared" si="1"/>
        <v>0.57024793388429751</v>
      </c>
      <c r="G35" s="11">
        <v>27467.82</v>
      </c>
      <c r="H35" s="11">
        <v>42084.07</v>
      </c>
      <c r="I35" s="12">
        <f t="shared" si="2"/>
        <v>14616.25</v>
      </c>
      <c r="J35" s="11">
        <f t="shared" si="3"/>
        <v>227.00677685950413</v>
      </c>
      <c r="K35" s="11">
        <f t="shared" si="4"/>
        <v>221.49510526315788</v>
      </c>
      <c r="L35" s="12">
        <f t="shared" si="5"/>
        <v>-5.5116715963462468</v>
      </c>
      <c r="M35" s="8">
        <v>8</v>
      </c>
      <c r="N35" s="13">
        <v>7</v>
      </c>
    </row>
    <row r="36" spans="1:14" ht="23.1" customHeight="1">
      <c r="A36" s="6" t="s">
        <v>14</v>
      </c>
      <c r="B36" s="7" t="s">
        <v>144</v>
      </c>
      <c r="C36" s="8">
        <v>97</v>
      </c>
      <c r="D36" s="8">
        <v>165</v>
      </c>
      <c r="E36" s="9">
        <f t="shared" si="0"/>
        <v>68</v>
      </c>
      <c r="F36" s="10">
        <f t="shared" si="1"/>
        <v>0.7010309278350515</v>
      </c>
      <c r="G36" s="11">
        <v>22451.81</v>
      </c>
      <c r="H36" s="11">
        <v>38664.080000000002</v>
      </c>
      <c r="I36" s="12">
        <f t="shared" si="2"/>
        <v>16212.27</v>
      </c>
      <c r="J36" s="11">
        <f t="shared" si="3"/>
        <v>231.46195876288661</v>
      </c>
      <c r="K36" s="11">
        <f t="shared" si="4"/>
        <v>234.32775757575757</v>
      </c>
      <c r="L36" s="12">
        <f t="shared" si="5"/>
        <v>2.8657988128709633</v>
      </c>
      <c r="M36" s="8">
        <v>8</v>
      </c>
      <c r="N36" s="13">
        <v>8</v>
      </c>
    </row>
    <row r="37" spans="1:14" ht="23.1" customHeight="1">
      <c r="A37" s="6" t="s">
        <v>14</v>
      </c>
      <c r="B37" s="7" t="s">
        <v>145</v>
      </c>
      <c r="C37" s="8">
        <v>97</v>
      </c>
      <c r="D37" s="8">
        <v>165</v>
      </c>
      <c r="E37" s="9">
        <f t="shared" ref="E37:E68" si="6">D37-C37</f>
        <v>68</v>
      </c>
      <c r="F37" s="10">
        <f t="shared" ref="F37:F68" si="7">IF(C37=0,"",E37/C37)</f>
        <v>0.7010309278350515</v>
      </c>
      <c r="G37" s="11">
        <v>69444.45</v>
      </c>
      <c r="H37" s="11">
        <v>120157.25</v>
      </c>
      <c r="I37" s="12">
        <f t="shared" ref="I37:I68" si="8">H37-G37</f>
        <v>50712.800000000003</v>
      </c>
      <c r="J37" s="11">
        <f t="shared" ref="J37:J68" si="9">IF(C37=0,"",G37/C37)</f>
        <v>715.92216494845354</v>
      </c>
      <c r="K37" s="11">
        <f t="shared" ref="K37:K68" si="10">IF(D37=0,"",H37/D37)</f>
        <v>728.2257575757576</v>
      </c>
      <c r="L37" s="12">
        <f t="shared" ref="L37:L68" si="11">IF(OR(J37="",K37=""),"",K37-J37)</f>
        <v>12.303592627304056</v>
      </c>
      <c r="M37" s="8">
        <v>11</v>
      </c>
      <c r="N37" s="13">
        <v>11</v>
      </c>
    </row>
    <row r="38" spans="1:14" ht="23.1" customHeight="1">
      <c r="A38" s="6" t="s">
        <v>14</v>
      </c>
      <c r="B38" s="7" t="s">
        <v>146</v>
      </c>
      <c r="C38" s="8">
        <v>202</v>
      </c>
      <c r="D38" s="8">
        <v>136</v>
      </c>
      <c r="E38" s="9">
        <f t="shared" si="6"/>
        <v>-66</v>
      </c>
      <c r="F38" s="10">
        <f t="shared" si="7"/>
        <v>-0.32673267326732675</v>
      </c>
      <c r="G38" s="11">
        <v>130580.56</v>
      </c>
      <c r="H38" s="11">
        <v>87322.62</v>
      </c>
      <c r="I38" s="12">
        <f t="shared" si="8"/>
        <v>-43257.94</v>
      </c>
      <c r="J38" s="11">
        <f t="shared" si="9"/>
        <v>646.43841584158417</v>
      </c>
      <c r="K38" s="11">
        <f t="shared" si="10"/>
        <v>642.0780882352941</v>
      </c>
      <c r="L38" s="12">
        <f t="shared" si="11"/>
        <v>-4.3603276062900704</v>
      </c>
      <c r="M38" s="8">
        <v>10</v>
      </c>
      <c r="N38" s="13">
        <v>10</v>
      </c>
    </row>
    <row r="39" spans="1:14" ht="23.1" customHeight="1">
      <c r="A39" s="6" t="s">
        <v>14</v>
      </c>
      <c r="B39" s="7" t="s">
        <v>147</v>
      </c>
      <c r="C39" s="8">
        <v>251</v>
      </c>
      <c r="D39" s="8">
        <v>315</v>
      </c>
      <c r="E39" s="9">
        <f t="shared" si="6"/>
        <v>64</v>
      </c>
      <c r="F39" s="10">
        <f t="shared" si="7"/>
        <v>0.2549800796812749</v>
      </c>
      <c r="G39" s="11">
        <v>153039.93</v>
      </c>
      <c r="H39" s="11">
        <v>204817.71</v>
      </c>
      <c r="I39" s="12">
        <f t="shared" si="8"/>
        <v>51777.78</v>
      </c>
      <c r="J39" s="11">
        <f t="shared" si="9"/>
        <v>609.72083665338641</v>
      </c>
      <c r="K39" s="11">
        <f t="shared" si="10"/>
        <v>650.21495238095235</v>
      </c>
      <c r="L39" s="12">
        <f t="shared" si="11"/>
        <v>40.494115727565941</v>
      </c>
      <c r="M39" s="8">
        <v>12</v>
      </c>
      <c r="N39" s="13">
        <v>15</v>
      </c>
    </row>
    <row r="40" spans="1:14" ht="23.1" customHeight="1">
      <c r="A40" s="6" t="s">
        <v>14</v>
      </c>
      <c r="B40" s="7" t="s">
        <v>148</v>
      </c>
      <c r="C40" s="8">
        <v>153</v>
      </c>
      <c r="D40" s="8">
        <v>213</v>
      </c>
      <c r="E40" s="9">
        <f t="shared" si="6"/>
        <v>60</v>
      </c>
      <c r="F40" s="10">
        <f t="shared" si="7"/>
        <v>0.39215686274509803</v>
      </c>
      <c r="G40" s="11">
        <v>17561.34</v>
      </c>
      <c r="H40" s="11">
        <v>25106.44</v>
      </c>
      <c r="I40" s="12">
        <f t="shared" si="8"/>
        <v>7545.0999999999985</v>
      </c>
      <c r="J40" s="11">
        <f t="shared" si="9"/>
        <v>114.78</v>
      </c>
      <c r="K40" s="11">
        <f t="shared" si="10"/>
        <v>117.87061032863849</v>
      </c>
      <c r="L40" s="12">
        <f t="shared" si="11"/>
        <v>3.0906103286384905</v>
      </c>
      <c r="M40" s="8">
        <v>1</v>
      </c>
      <c r="N40" s="13">
        <v>2</v>
      </c>
    </row>
    <row r="41" spans="1:14" ht="23.1" customHeight="1">
      <c r="A41" s="6" t="s">
        <v>14</v>
      </c>
      <c r="B41" s="7" t="s">
        <v>149</v>
      </c>
      <c r="C41" s="8">
        <v>65</v>
      </c>
      <c r="D41" s="8">
        <v>123</v>
      </c>
      <c r="E41" s="9">
        <f t="shared" si="6"/>
        <v>58</v>
      </c>
      <c r="F41" s="10">
        <f t="shared" si="7"/>
        <v>0.89230769230769236</v>
      </c>
      <c r="G41" s="11">
        <v>33246.910000000003</v>
      </c>
      <c r="H41" s="11">
        <v>74801.05</v>
      </c>
      <c r="I41" s="12">
        <f t="shared" si="8"/>
        <v>41554.14</v>
      </c>
      <c r="J41" s="11">
        <f t="shared" si="9"/>
        <v>511.49092307692314</v>
      </c>
      <c r="K41" s="11">
        <f t="shared" si="10"/>
        <v>608.13861788617885</v>
      </c>
      <c r="L41" s="12">
        <f t="shared" si="11"/>
        <v>96.647694809255711</v>
      </c>
      <c r="M41" s="8">
        <v>7</v>
      </c>
      <c r="N41" s="13">
        <v>11</v>
      </c>
    </row>
    <row r="42" spans="1:14" ht="23.1" customHeight="1">
      <c r="A42" s="6" t="s">
        <v>14</v>
      </c>
      <c r="B42" s="7" t="s">
        <v>150</v>
      </c>
      <c r="C42" s="8">
        <v>59</v>
      </c>
      <c r="D42" s="8">
        <v>2</v>
      </c>
      <c r="E42" s="9">
        <f t="shared" si="6"/>
        <v>-57</v>
      </c>
      <c r="F42" s="10">
        <f t="shared" si="7"/>
        <v>-0.96610169491525422</v>
      </c>
      <c r="G42" s="11">
        <v>6638.68</v>
      </c>
      <c r="H42" s="11">
        <v>225.04</v>
      </c>
      <c r="I42" s="12">
        <f t="shared" si="8"/>
        <v>-6413.64</v>
      </c>
      <c r="J42" s="11">
        <f t="shared" si="9"/>
        <v>112.52000000000001</v>
      </c>
      <c r="K42" s="11">
        <f t="shared" si="10"/>
        <v>112.52</v>
      </c>
      <c r="L42" s="12">
        <f t="shared" si="11"/>
        <v>-1.4210854715202004E-14</v>
      </c>
      <c r="M42" s="8">
        <v>1</v>
      </c>
      <c r="N42" s="13">
        <v>1</v>
      </c>
    </row>
    <row r="43" spans="1:14" ht="23.1" customHeight="1">
      <c r="A43" s="6" t="s">
        <v>14</v>
      </c>
      <c r="B43" s="7" t="s">
        <v>151</v>
      </c>
      <c r="C43" s="8">
        <v>143</v>
      </c>
      <c r="D43" s="8">
        <v>199</v>
      </c>
      <c r="E43" s="9">
        <f t="shared" si="6"/>
        <v>56</v>
      </c>
      <c r="F43" s="10">
        <f t="shared" si="7"/>
        <v>0.39160839160839161</v>
      </c>
      <c r="G43" s="11">
        <v>116757.82</v>
      </c>
      <c r="H43" s="11">
        <v>145526.25</v>
      </c>
      <c r="I43" s="12">
        <f t="shared" si="8"/>
        <v>28768.429999999993</v>
      </c>
      <c r="J43" s="11">
        <f t="shared" si="9"/>
        <v>816.48825174825174</v>
      </c>
      <c r="K43" s="11">
        <f t="shared" si="10"/>
        <v>731.28768844221111</v>
      </c>
      <c r="L43" s="12">
        <f t="shared" si="11"/>
        <v>-85.200563306040635</v>
      </c>
      <c r="M43" s="8">
        <v>13</v>
      </c>
      <c r="N43" s="13">
        <v>11</v>
      </c>
    </row>
    <row r="44" spans="1:14" ht="23.1" customHeight="1">
      <c r="A44" s="6" t="s">
        <v>14</v>
      </c>
      <c r="B44" s="7" t="s">
        <v>152</v>
      </c>
      <c r="C44" s="8">
        <v>56</v>
      </c>
      <c r="D44" s="8">
        <v>0</v>
      </c>
      <c r="E44" s="9">
        <f t="shared" si="6"/>
        <v>-56</v>
      </c>
      <c r="F44" s="10">
        <f t="shared" si="7"/>
        <v>-1</v>
      </c>
      <c r="G44" s="11">
        <v>46208.15</v>
      </c>
      <c r="H44" s="11">
        <v>0</v>
      </c>
      <c r="I44" s="12">
        <f t="shared" si="8"/>
        <v>-46208.15</v>
      </c>
      <c r="J44" s="11">
        <f t="shared" si="9"/>
        <v>825.14553571428576</v>
      </c>
      <c r="K44" s="11" t="str">
        <f t="shared" si="10"/>
        <v/>
      </c>
      <c r="L44" s="12" t="str">
        <f t="shared" si="11"/>
        <v/>
      </c>
      <c r="M44" s="8">
        <v>11</v>
      </c>
      <c r="N44" s="13">
        <v>0</v>
      </c>
    </row>
    <row r="45" spans="1:14" ht="23.1" customHeight="1">
      <c r="A45" s="6" t="s">
        <v>14</v>
      </c>
      <c r="B45" s="7" t="s">
        <v>153</v>
      </c>
      <c r="C45" s="8">
        <v>80</v>
      </c>
      <c r="D45" s="8">
        <v>135</v>
      </c>
      <c r="E45" s="9">
        <f t="shared" si="6"/>
        <v>55</v>
      </c>
      <c r="F45" s="10">
        <f t="shared" si="7"/>
        <v>0.6875</v>
      </c>
      <c r="G45" s="11">
        <v>46831.96</v>
      </c>
      <c r="H45" s="11">
        <v>73697.34</v>
      </c>
      <c r="I45" s="12">
        <f t="shared" si="8"/>
        <v>26865.379999999997</v>
      </c>
      <c r="J45" s="11">
        <f t="shared" si="9"/>
        <v>585.39949999999999</v>
      </c>
      <c r="K45" s="11">
        <f t="shared" si="10"/>
        <v>545.90622222222214</v>
      </c>
      <c r="L45" s="12">
        <f t="shared" si="11"/>
        <v>-39.493277777777848</v>
      </c>
      <c r="M45" s="8">
        <v>11</v>
      </c>
      <c r="N45" s="13">
        <v>12</v>
      </c>
    </row>
    <row r="46" spans="1:14" ht="23.1" customHeight="1">
      <c r="A46" s="6" t="s">
        <v>14</v>
      </c>
      <c r="B46" s="7" t="s">
        <v>154</v>
      </c>
      <c r="C46" s="8">
        <v>173</v>
      </c>
      <c r="D46" s="8">
        <v>223</v>
      </c>
      <c r="E46" s="9">
        <f t="shared" si="6"/>
        <v>50</v>
      </c>
      <c r="F46" s="10">
        <f t="shared" si="7"/>
        <v>0.28901734104046245</v>
      </c>
      <c r="G46" s="11">
        <v>116316.89</v>
      </c>
      <c r="H46" s="11">
        <v>145541.94</v>
      </c>
      <c r="I46" s="12">
        <f t="shared" si="8"/>
        <v>29225.050000000003</v>
      </c>
      <c r="J46" s="11">
        <f t="shared" si="9"/>
        <v>672.35196531791905</v>
      </c>
      <c r="K46" s="11">
        <f t="shared" si="10"/>
        <v>652.65443946188338</v>
      </c>
      <c r="L46" s="12">
        <f t="shared" si="11"/>
        <v>-19.697525856035668</v>
      </c>
      <c r="M46" s="8">
        <v>12</v>
      </c>
      <c r="N46" s="13">
        <v>12</v>
      </c>
    </row>
    <row r="47" spans="1:14" ht="23.1" customHeight="1">
      <c r="A47" s="6" t="s">
        <v>14</v>
      </c>
      <c r="B47" s="7" t="s">
        <v>155</v>
      </c>
      <c r="C47" s="8">
        <v>170</v>
      </c>
      <c r="D47" s="8">
        <v>220</v>
      </c>
      <c r="E47" s="9">
        <f t="shared" si="6"/>
        <v>50</v>
      </c>
      <c r="F47" s="10">
        <f t="shared" si="7"/>
        <v>0.29411764705882354</v>
      </c>
      <c r="G47" s="11">
        <v>110147.19</v>
      </c>
      <c r="H47" s="11">
        <v>169068.45</v>
      </c>
      <c r="I47" s="12">
        <f t="shared" si="8"/>
        <v>58921.260000000009</v>
      </c>
      <c r="J47" s="11">
        <f t="shared" si="9"/>
        <v>647.92464705882355</v>
      </c>
      <c r="K47" s="11">
        <f t="shared" si="10"/>
        <v>768.49295454545461</v>
      </c>
      <c r="L47" s="12">
        <f t="shared" si="11"/>
        <v>120.56830748663106</v>
      </c>
      <c r="M47" s="8">
        <v>13</v>
      </c>
      <c r="N47" s="13">
        <v>13</v>
      </c>
    </row>
    <row r="48" spans="1:14" ht="23.1" customHeight="1">
      <c r="A48" s="6" t="s">
        <v>14</v>
      </c>
      <c r="B48" s="7" t="s">
        <v>156</v>
      </c>
      <c r="C48" s="8">
        <v>142</v>
      </c>
      <c r="D48" s="8">
        <v>191</v>
      </c>
      <c r="E48" s="9">
        <f t="shared" si="6"/>
        <v>49</v>
      </c>
      <c r="F48" s="10">
        <f t="shared" si="7"/>
        <v>0.34507042253521125</v>
      </c>
      <c r="G48" s="11">
        <v>34919.5</v>
      </c>
      <c r="H48" s="11">
        <v>48110.080000000002</v>
      </c>
      <c r="I48" s="12">
        <f t="shared" si="8"/>
        <v>13190.580000000002</v>
      </c>
      <c r="J48" s="11">
        <f t="shared" si="9"/>
        <v>245.91197183098592</v>
      </c>
      <c r="K48" s="11">
        <f t="shared" si="10"/>
        <v>251.88523560209424</v>
      </c>
      <c r="L48" s="12">
        <f t="shared" si="11"/>
        <v>5.9732637711083214</v>
      </c>
      <c r="M48" s="8">
        <v>9</v>
      </c>
      <c r="N48" s="13">
        <v>8</v>
      </c>
    </row>
    <row r="49" spans="1:14" ht="23.1" customHeight="1">
      <c r="A49" s="6" t="s">
        <v>14</v>
      </c>
      <c r="B49" s="7" t="s">
        <v>157</v>
      </c>
      <c r="C49" s="8">
        <v>97</v>
      </c>
      <c r="D49" s="8">
        <v>146</v>
      </c>
      <c r="E49" s="9">
        <f t="shared" si="6"/>
        <v>49</v>
      </c>
      <c r="F49" s="10">
        <f t="shared" si="7"/>
        <v>0.50515463917525771</v>
      </c>
      <c r="G49" s="11">
        <v>25946.1</v>
      </c>
      <c r="H49" s="11">
        <v>36616.68</v>
      </c>
      <c r="I49" s="12">
        <f t="shared" si="8"/>
        <v>10670.580000000002</v>
      </c>
      <c r="J49" s="11">
        <f t="shared" si="9"/>
        <v>267.48556701030924</v>
      </c>
      <c r="K49" s="11">
        <f t="shared" si="10"/>
        <v>250.79917808219179</v>
      </c>
      <c r="L49" s="12">
        <f t="shared" si="11"/>
        <v>-16.686388928117452</v>
      </c>
      <c r="M49" s="8">
        <v>7</v>
      </c>
      <c r="N49" s="13">
        <v>8</v>
      </c>
    </row>
    <row r="50" spans="1:14" ht="23.1" customHeight="1">
      <c r="A50" s="6" t="s">
        <v>14</v>
      </c>
      <c r="B50" s="7" t="s">
        <v>158</v>
      </c>
      <c r="C50" s="8">
        <v>57</v>
      </c>
      <c r="D50" s="8">
        <v>104</v>
      </c>
      <c r="E50" s="9">
        <f t="shared" si="6"/>
        <v>47</v>
      </c>
      <c r="F50" s="10">
        <f t="shared" si="7"/>
        <v>0.82456140350877194</v>
      </c>
      <c r="G50" s="11">
        <v>14006.04</v>
      </c>
      <c r="H50" s="11">
        <v>25554.880000000001</v>
      </c>
      <c r="I50" s="12">
        <f t="shared" si="8"/>
        <v>11548.84</v>
      </c>
      <c r="J50" s="11">
        <f t="shared" si="9"/>
        <v>245.72000000000003</v>
      </c>
      <c r="K50" s="11">
        <f t="shared" si="10"/>
        <v>245.72</v>
      </c>
      <c r="L50" s="12">
        <f t="shared" si="11"/>
        <v>-2.8421709430404007E-14</v>
      </c>
      <c r="M50" s="8">
        <v>1</v>
      </c>
      <c r="N50" s="13">
        <v>1</v>
      </c>
    </row>
    <row r="51" spans="1:14" ht="23.1" customHeight="1">
      <c r="A51" s="6" t="s">
        <v>14</v>
      </c>
      <c r="B51" s="7" t="s">
        <v>159</v>
      </c>
      <c r="C51" s="8">
        <v>115</v>
      </c>
      <c r="D51" s="8">
        <v>161</v>
      </c>
      <c r="E51" s="9">
        <f t="shared" si="6"/>
        <v>46</v>
      </c>
      <c r="F51" s="10">
        <f t="shared" si="7"/>
        <v>0.4</v>
      </c>
      <c r="G51" s="11">
        <v>90127.51</v>
      </c>
      <c r="H51" s="11">
        <v>92333.68</v>
      </c>
      <c r="I51" s="12">
        <f t="shared" si="8"/>
        <v>2206.1699999999983</v>
      </c>
      <c r="J51" s="11">
        <f t="shared" si="9"/>
        <v>783.71747826086948</v>
      </c>
      <c r="K51" s="11">
        <f t="shared" si="10"/>
        <v>573.50111801242235</v>
      </c>
      <c r="L51" s="12">
        <f t="shared" si="11"/>
        <v>-210.21636024844713</v>
      </c>
      <c r="M51" s="8">
        <v>9</v>
      </c>
      <c r="N51" s="13">
        <v>11</v>
      </c>
    </row>
    <row r="52" spans="1:14" ht="23.1" customHeight="1">
      <c r="A52" s="6" t="s">
        <v>14</v>
      </c>
      <c r="B52" s="7" t="s">
        <v>160</v>
      </c>
      <c r="C52" s="8">
        <v>0</v>
      </c>
      <c r="D52" s="8">
        <v>46</v>
      </c>
      <c r="E52" s="9">
        <f t="shared" si="6"/>
        <v>46</v>
      </c>
      <c r="F52" s="10" t="str">
        <f t="shared" si="7"/>
        <v/>
      </c>
      <c r="G52" s="11">
        <v>0</v>
      </c>
      <c r="H52" s="11">
        <v>46700.98</v>
      </c>
      <c r="I52" s="12">
        <f t="shared" si="8"/>
        <v>46700.98</v>
      </c>
      <c r="J52" s="11" t="str">
        <f t="shared" si="9"/>
        <v/>
      </c>
      <c r="K52" s="11">
        <f t="shared" si="10"/>
        <v>1015.238695652174</v>
      </c>
      <c r="L52" s="12" t="str">
        <f t="shared" si="11"/>
        <v/>
      </c>
      <c r="M52" s="8">
        <v>0</v>
      </c>
      <c r="N52" s="13">
        <v>6</v>
      </c>
    </row>
    <row r="53" spans="1:14" ht="23.1" customHeight="1">
      <c r="A53" s="6" t="s">
        <v>14</v>
      </c>
      <c r="B53" s="7" t="s">
        <v>161</v>
      </c>
      <c r="C53" s="8">
        <v>105</v>
      </c>
      <c r="D53" s="8">
        <v>151</v>
      </c>
      <c r="E53" s="9">
        <f t="shared" si="6"/>
        <v>46</v>
      </c>
      <c r="F53" s="10">
        <f t="shared" si="7"/>
        <v>0.43809523809523809</v>
      </c>
      <c r="G53" s="11">
        <v>65462.76</v>
      </c>
      <c r="H53" s="11">
        <v>100895.92</v>
      </c>
      <c r="I53" s="12">
        <f t="shared" si="8"/>
        <v>35433.159999999996</v>
      </c>
      <c r="J53" s="11">
        <f t="shared" si="9"/>
        <v>623.45485714285712</v>
      </c>
      <c r="K53" s="11">
        <f t="shared" si="10"/>
        <v>668.18490066225161</v>
      </c>
      <c r="L53" s="12">
        <f t="shared" si="11"/>
        <v>44.730043519394485</v>
      </c>
      <c r="M53" s="8">
        <v>10</v>
      </c>
      <c r="N53" s="13">
        <v>12</v>
      </c>
    </row>
    <row r="54" spans="1:14" ht="23.1" customHeight="1">
      <c r="A54" s="6" t="s">
        <v>14</v>
      </c>
      <c r="B54" s="7" t="s">
        <v>162</v>
      </c>
      <c r="C54" s="8">
        <v>61</v>
      </c>
      <c r="D54" s="8">
        <v>104</v>
      </c>
      <c r="E54" s="9">
        <f t="shared" si="6"/>
        <v>43</v>
      </c>
      <c r="F54" s="10">
        <f t="shared" si="7"/>
        <v>0.70491803278688525</v>
      </c>
      <c r="G54" s="11">
        <v>6863.72</v>
      </c>
      <c r="H54" s="11">
        <v>11702.08</v>
      </c>
      <c r="I54" s="12">
        <f t="shared" si="8"/>
        <v>4838.3599999999997</v>
      </c>
      <c r="J54" s="11">
        <f t="shared" si="9"/>
        <v>112.52000000000001</v>
      </c>
      <c r="K54" s="11">
        <f t="shared" si="10"/>
        <v>112.52</v>
      </c>
      <c r="L54" s="12">
        <f t="shared" si="11"/>
        <v>-1.4210854715202004E-14</v>
      </c>
      <c r="M54" s="8">
        <v>1</v>
      </c>
      <c r="N54" s="13">
        <v>1</v>
      </c>
    </row>
    <row r="55" spans="1:14" ht="23.1" customHeight="1">
      <c r="A55" s="6" t="s">
        <v>14</v>
      </c>
      <c r="B55" s="7" t="s">
        <v>163</v>
      </c>
      <c r="C55" s="8">
        <v>0</v>
      </c>
      <c r="D55" s="8">
        <v>39</v>
      </c>
      <c r="E55" s="9">
        <f t="shared" si="6"/>
        <v>39</v>
      </c>
      <c r="F55" s="10" t="str">
        <f t="shared" si="7"/>
        <v/>
      </c>
      <c r="G55" s="11">
        <v>0</v>
      </c>
      <c r="H55" s="11">
        <v>2391.48</v>
      </c>
      <c r="I55" s="12">
        <f t="shared" si="8"/>
        <v>2391.48</v>
      </c>
      <c r="J55" s="11" t="str">
        <f t="shared" si="9"/>
        <v/>
      </c>
      <c r="K55" s="11">
        <f t="shared" si="10"/>
        <v>61.32</v>
      </c>
      <c r="L55" s="12" t="str">
        <f t="shared" si="11"/>
        <v/>
      </c>
      <c r="M55" s="8">
        <v>0</v>
      </c>
      <c r="N55" s="13">
        <v>1</v>
      </c>
    </row>
    <row r="56" spans="1:14" ht="23.1" customHeight="1">
      <c r="A56" s="6" t="s">
        <v>14</v>
      </c>
      <c r="B56" s="7" t="s">
        <v>164</v>
      </c>
      <c r="C56" s="8">
        <v>58</v>
      </c>
      <c r="D56" s="8">
        <v>96</v>
      </c>
      <c r="E56" s="9">
        <f t="shared" si="6"/>
        <v>38</v>
      </c>
      <c r="F56" s="10">
        <f t="shared" si="7"/>
        <v>0.65517241379310343</v>
      </c>
      <c r="G56" s="11">
        <v>17863.419999999998</v>
      </c>
      <c r="H56" s="11">
        <v>29567.040000000001</v>
      </c>
      <c r="I56" s="12">
        <f t="shared" si="8"/>
        <v>11703.620000000003</v>
      </c>
      <c r="J56" s="11">
        <f t="shared" si="9"/>
        <v>307.98999999999995</v>
      </c>
      <c r="K56" s="11">
        <f t="shared" si="10"/>
        <v>307.99</v>
      </c>
      <c r="L56" s="12">
        <f t="shared" si="11"/>
        <v>5.6843418860808015E-14</v>
      </c>
      <c r="M56" s="8">
        <v>1</v>
      </c>
      <c r="N56" s="13">
        <v>1</v>
      </c>
    </row>
    <row r="57" spans="1:14" ht="23.1" customHeight="1">
      <c r="A57" s="6" t="s">
        <v>14</v>
      </c>
      <c r="B57" s="7" t="s">
        <v>165</v>
      </c>
      <c r="C57" s="8">
        <v>167</v>
      </c>
      <c r="D57" s="8">
        <v>202</v>
      </c>
      <c r="E57" s="9">
        <f t="shared" si="6"/>
        <v>35</v>
      </c>
      <c r="F57" s="10">
        <f t="shared" si="7"/>
        <v>0.20958083832335328</v>
      </c>
      <c r="G57" s="11">
        <v>127099.05</v>
      </c>
      <c r="H57" s="11">
        <v>127062.64</v>
      </c>
      <c r="I57" s="12">
        <f t="shared" si="8"/>
        <v>-36.410000000003492</v>
      </c>
      <c r="J57" s="11">
        <f t="shared" si="9"/>
        <v>761.07215568862273</v>
      </c>
      <c r="K57" s="11">
        <f t="shared" si="10"/>
        <v>629.0229702970297</v>
      </c>
      <c r="L57" s="12">
        <f t="shared" si="11"/>
        <v>-132.04918539159303</v>
      </c>
      <c r="M57" s="8">
        <v>13</v>
      </c>
      <c r="N57" s="13">
        <v>13</v>
      </c>
    </row>
    <row r="58" spans="1:14" ht="23.1" customHeight="1">
      <c r="A58" s="6" t="s">
        <v>14</v>
      </c>
      <c r="B58" s="7" t="s">
        <v>166</v>
      </c>
      <c r="C58" s="8">
        <v>171</v>
      </c>
      <c r="D58" s="8">
        <v>203</v>
      </c>
      <c r="E58" s="9">
        <f t="shared" si="6"/>
        <v>32</v>
      </c>
      <c r="F58" s="10">
        <f t="shared" si="7"/>
        <v>0.1871345029239766</v>
      </c>
      <c r="G58" s="11">
        <v>105970.15</v>
      </c>
      <c r="H58" s="11">
        <v>109689.33</v>
      </c>
      <c r="I58" s="12">
        <f t="shared" si="8"/>
        <v>3719.1800000000076</v>
      </c>
      <c r="J58" s="11">
        <f t="shared" si="9"/>
        <v>619.70847953216366</v>
      </c>
      <c r="K58" s="11">
        <f t="shared" si="10"/>
        <v>540.34152709359603</v>
      </c>
      <c r="L58" s="12">
        <f t="shared" si="11"/>
        <v>-79.366952438567637</v>
      </c>
      <c r="M58" s="8">
        <v>11</v>
      </c>
      <c r="N58" s="13">
        <v>11</v>
      </c>
    </row>
    <row r="59" spans="1:14" ht="23.1" customHeight="1">
      <c r="A59" s="6" t="s">
        <v>14</v>
      </c>
      <c r="B59" s="7" t="s">
        <v>167</v>
      </c>
      <c r="C59" s="8">
        <v>127</v>
      </c>
      <c r="D59" s="8">
        <v>159</v>
      </c>
      <c r="E59" s="9">
        <f t="shared" si="6"/>
        <v>32</v>
      </c>
      <c r="F59" s="10">
        <f t="shared" si="7"/>
        <v>0.25196850393700787</v>
      </c>
      <c r="G59" s="11">
        <v>25088.01</v>
      </c>
      <c r="H59" s="11">
        <v>33611.86</v>
      </c>
      <c r="I59" s="12">
        <f t="shared" si="8"/>
        <v>8523.8500000000022</v>
      </c>
      <c r="J59" s="11">
        <f t="shared" si="9"/>
        <v>197.54338582677164</v>
      </c>
      <c r="K59" s="11">
        <f t="shared" si="10"/>
        <v>211.39534591194968</v>
      </c>
      <c r="L59" s="12">
        <f t="shared" si="11"/>
        <v>13.851960085178035</v>
      </c>
      <c r="M59" s="8">
        <v>7</v>
      </c>
      <c r="N59" s="13">
        <v>8</v>
      </c>
    </row>
    <row r="60" spans="1:14" ht="23.1" customHeight="1">
      <c r="A60" s="6" t="s">
        <v>14</v>
      </c>
      <c r="B60" s="7" t="s">
        <v>168</v>
      </c>
      <c r="C60" s="8">
        <v>41</v>
      </c>
      <c r="D60" s="8">
        <v>68</v>
      </c>
      <c r="E60" s="9">
        <f t="shared" si="6"/>
        <v>27</v>
      </c>
      <c r="F60" s="10">
        <f t="shared" si="7"/>
        <v>0.65853658536585369</v>
      </c>
      <c r="G60" s="11">
        <v>105186.44</v>
      </c>
      <c r="H60" s="11">
        <v>178563.59</v>
      </c>
      <c r="I60" s="12">
        <f t="shared" si="8"/>
        <v>73377.149999999994</v>
      </c>
      <c r="J60" s="11">
        <f t="shared" si="9"/>
        <v>2565.5229268292683</v>
      </c>
      <c r="K60" s="11">
        <f t="shared" si="10"/>
        <v>2625.9351470588235</v>
      </c>
      <c r="L60" s="12">
        <f t="shared" si="11"/>
        <v>60.41222022955526</v>
      </c>
      <c r="M60" s="8">
        <v>2</v>
      </c>
      <c r="N60" s="13">
        <v>3</v>
      </c>
    </row>
    <row r="61" spans="1:14" ht="23.1" customHeight="1">
      <c r="A61" s="6" t="s">
        <v>14</v>
      </c>
      <c r="B61" s="7" t="s">
        <v>169</v>
      </c>
      <c r="C61" s="8">
        <v>164</v>
      </c>
      <c r="D61" s="8">
        <v>141</v>
      </c>
      <c r="E61" s="9">
        <f t="shared" si="6"/>
        <v>-23</v>
      </c>
      <c r="F61" s="10">
        <f t="shared" si="7"/>
        <v>-0.1402439024390244</v>
      </c>
      <c r="G61" s="11">
        <v>39024.29</v>
      </c>
      <c r="H61" s="11">
        <v>35404.559999999998</v>
      </c>
      <c r="I61" s="12">
        <f t="shared" si="8"/>
        <v>-3619.7300000000032</v>
      </c>
      <c r="J61" s="11">
        <f t="shared" si="9"/>
        <v>237.95298780487806</v>
      </c>
      <c r="K61" s="11">
        <f t="shared" si="10"/>
        <v>251.09617021276594</v>
      </c>
      <c r="L61" s="12">
        <f t="shared" si="11"/>
        <v>13.143182407887878</v>
      </c>
      <c r="M61" s="8">
        <v>8</v>
      </c>
      <c r="N61" s="13">
        <v>8</v>
      </c>
    </row>
    <row r="62" spans="1:14" ht="23.1" customHeight="1">
      <c r="A62" s="6" t="s">
        <v>14</v>
      </c>
      <c r="B62" s="7" t="s">
        <v>170</v>
      </c>
      <c r="C62" s="8">
        <v>71</v>
      </c>
      <c r="D62" s="8">
        <v>93</v>
      </c>
      <c r="E62" s="9">
        <f t="shared" si="6"/>
        <v>22</v>
      </c>
      <c r="F62" s="10">
        <f t="shared" si="7"/>
        <v>0.30985915492957744</v>
      </c>
      <c r="G62" s="11">
        <v>21867.29</v>
      </c>
      <c r="H62" s="11">
        <v>28643.07</v>
      </c>
      <c r="I62" s="12">
        <f t="shared" si="8"/>
        <v>6775.7799999999988</v>
      </c>
      <c r="J62" s="11">
        <f t="shared" si="9"/>
        <v>307.99</v>
      </c>
      <c r="K62" s="11">
        <f t="shared" si="10"/>
        <v>307.99</v>
      </c>
      <c r="L62" s="12">
        <f t="shared" si="11"/>
        <v>0</v>
      </c>
      <c r="M62" s="8">
        <v>1</v>
      </c>
      <c r="N62" s="13">
        <v>1</v>
      </c>
    </row>
    <row r="63" spans="1:14" ht="23.1" customHeight="1">
      <c r="A63" s="6" t="s">
        <v>14</v>
      </c>
      <c r="B63" s="7" t="s">
        <v>171</v>
      </c>
      <c r="C63" s="8">
        <v>57</v>
      </c>
      <c r="D63" s="8">
        <v>79</v>
      </c>
      <c r="E63" s="9">
        <f t="shared" si="6"/>
        <v>22</v>
      </c>
      <c r="F63" s="10">
        <f t="shared" si="7"/>
        <v>0.38596491228070173</v>
      </c>
      <c r="G63" s="11">
        <v>148330.32</v>
      </c>
      <c r="H63" s="11">
        <v>158837.56</v>
      </c>
      <c r="I63" s="12">
        <f t="shared" si="8"/>
        <v>10507.239999999991</v>
      </c>
      <c r="J63" s="11">
        <f t="shared" si="9"/>
        <v>2602.286315789474</v>
      </c>
      <c r="K63" s="11">
        <f t="shared" si="10"/>
        <v>2010.6020253164556</v>
      </c>
      <c r="L63" s="12">
        <f t="shared" si="11"/>
        <v>-591.68429047301834</v>
      </c>
      <c r="M63" s="8">
        <v>2</v>
      </c>
      <c r="N63" s="13">
        <v>10</v>
      </c>
    </row>
    <row r="64" spans="1:14" ht="23.1" customHeight="1">
      <c r="A64" s="6" t="s">
        <v>14</v>
      </c>
      <c r="B64" s="7" t="s">
        <v>172</v>
      </c>
      <c r="C64" s="8">
        <v>177</v>
      </c>
      <c r="D64" s="8">
        <v>157</v>
      </c>
      <c r="E64" s="9">
        <f t="shared" si="6"/>
        <v>-20</v>
      </c>
      <c r="F64" s="10">
        <f t="shared" si="7"/>
        <v>-0.11299435028248588</v>
      </c>
      <c r="G64" s="11">
        <v>46272.07</v>
      </c>
      <c r="H64" s="11">
        <v>42854.400000000001</v>
      </c>
      <c r="I64" s="12">
        <f t="shared" si="8"/>
        <v>-3417.6699999999983</v>
      </c>
      <c r="J64" s="11">
        <f t="shared" si="9"/>
        <v>261.42412429378533</v>
      </c>
      <c r="K64" s="11">
        <f t="shared" si="10"/>
        <v>272.95796178343949</v>
      </c>
      <c r="L64" s="12">
        <f t="shared" si="11"/>
        <v>11.533837489654161</v>
      </c>
      <c r="M64" s="8">
        <v>7</v>
      </c>
      <c r="N64" s="13">
        <v>6</v>
      </c>
    </row>
    <row r="65" spans="1:14" ht="23.1" customHeight="1">
      <c r="A65" s="6" t="s">
        <v>14</v>
      </c>
      <c r="B65" s="7" t="s">
        <v>173</v>
      </c>
      <c r="C65" s="8">
        <v>159</v>
      </c>
      <c r="D65" s="8">
        <v>179</v>
      </c>
      <c r="E65" s="9">
        <f t="shared" si="6"/>
        <v>20</v>
      </c>
      <c r="F65" s="10">
        <f t="shared" si="7"/>
        <v>0.12578616352201258</v>
      </c>
      <c r="G65" s="11">
        <v>102866.79</v>
      </c>
      <c r="H65" s="11">
        <v>142391.93</v>
      </c>
      <c r="I65" s="12">
        <f t="shared" si="8"/>
        <v>39525.14</v>
      </c>
      <c r="J65" s="11">
        <f t="shared" si="9"/>
        <v>646.96094339622641</v>
      </c>
      <c r="K65" s="11">
        <f t="shared" si="10"/>
        <v>795.48564245810053</v>
      </c>
      <c r="L65" s="12">
        <f t="shared" si="11"/>
        <v>148.52469906187412</v>
      </c>
      <c r="M65" s="8">
        <v>12</v>
      </c>
      <c r="N65" s="13">
        <v>14</v>
      </c>
    </row>
    <row r="66" spans="1:14" ht="23.1" customHeight="1">
      <c r="A66" s="6" t="s">
        <v>14</v>
      </c>
      <c r="B66" s="7" t="s">
        <v>174</v>
      </c>
      <c r="C66" s="8">
        <v>0</v>
      </c>
      <c r="D66" s="8">
        <v>20</v>
      </c>
      <c r="E66" s="9">
        <f t="shared" si="6"/>
        <v>20</v>
      </c>
      <c r="F66" s="10" t="str">
        <f t="shared" si="7"/>
        <v/>
      </c>
      <c r="G66" s="11">
        <v>0</v>
      </c>
      <c r="H66" s="11">
        <v>19109.36</v>
      </c>
      <c r="I66" s="12">
        <f t="shared" si="8"/>
        <v>19109.36</v>
      </c>
      <c r="J66" s="11" t="str">
        <f t="shared" si="9"/>
        <v/>
      </c>
      <c r="K66" s="11">
        <f t="shared" si="10"/>
        <v>955.46800000000007</v>
      </c>
      <c r="L66" s="12" t="str">
        <f t="shared" si="11"/>
        <v/>
      </c>
      <c r="M66" s="8">
        <v>0</v>
      </c>
      <c r="N66" s="13">
        <v>8</v>
      </c>
    </row>
    <row r="67" spans="1:14" ht="23.1" customHeight="1">
      <c r="A67" s="6" t="s">
        <v>14</v>
      </c>
      <c r="B67" s="7" t="s">
        <v>175</v>
      </c>
      <c r="C67" s="8">
        <v>67</v>
      </c>
      <c r="D67" s="8">
        <v>49</v>
      </c>
      <c r="E67" s="9">
        <f t="shared" si="6"/>
        <v>-18</v>
      </c>
      <c r="F67" s="10">
        <f t="shared" si="7"/>
        <v>-0.26865671641791045</v>
      </c>
      <c r="G67" s="11">
        <v>182038.15</v>
      </c>
      <c r="H67" s="11">
        <v>119960.17</v>
      </c>
      <c r="I67" s="12">
        <f t="shared" si="8"/>
        <v>-62077.979999999996</v>
      </c>
      <c r="J67" s="11">
        <f t="shared" si="9"/>
        <v>2716.9873134328359</v>
      </c>
      <c r="K67" s="11">
        <f t="shared" si="10"/>
        <v>2448.1667346938775</v>
      </c>
      <c r="L67" s="12">
        <f t="shared" si="11"/>
        <v>-268.82057873895837</v>
      </c>
      <c r="M67" s="8">
        <v>4</v>
      </c>
      <c r="N67" s="13">
        <v>4</v>
      </c>
    </row>
    <row r="68" spans="1:14" ht="23.1" customHeight="1">
      <c r="A68" s="6" t="s">
        <v>14</v>
      </c>
      <c r="B68" s="7" t="s">
        <v>176</v>
      </c>
      <c r="C68" s="8">
        <v>50</v>
      </c>
      <c r="D68" s="8">
        <v>32</v>
      </c>
      <c r="E68" s="9">
        <f t="shared" si="6"/>
        <v>-18</v>
      </c>
      <c r="F68" s="10">
        <f t="shared" si="7"/>
        <v>-0.36</v>
      </c>
      <c r="G68" s="11">
        <v>130676.4</v>
      </c>
      <c r="H68" s="11">
        <v>85665.18</v>
      </c>
      <c r="I68" s="12">
        <f t="shared" si="8"/>
        <v>-45011.22</v>
      </c>
      <c r="J68" s="11">
        <f t="shared" si="9"/>
        <v>2613.5279999999998</v>
      </c>
      <c r="K68" s="11">
        <f t="shared" si="10"/>
        <v>2677.0368749999998</v>
      </c>
      <c r="L68" s="12">
        <f t="shared" si="11"/>
        <v>63.508874999999989</v>
      </c>
      <c r="M68" s="8">
        <v>3</v>
      </c>
      <c r="N68" s="13">
        <v>2</v>
      </c>
    </row>
    <row r="69" spans="1:14" ht="23.1" customHeight="1">
      <c r="A69" s="6" t="s">
        <v>14</v>
      </c>
      <c r="B69" s="7" t="s">
        <v>177</v>
      </c>
      <c r="C69" s="8">
        <v>128</v>
      </c>
      <c r="D69" s="8">
        <v>146</v>
      </c>
      <c r="E69" s="9">
        <f t="shared" ref="E69:E100" si="12">D69-C69</f>
        <v>18</v>
      </c>
      <c r="F69" s="10">
        <f t="shared" ref="F69:F100" si="13">IF(C69=0,"",E69/C69)</f>
        <v>0.140625</v>
      </c>
      <c r="G69" s="11">
        <v>29662.91</v>
      </c>
      <c r="H69" s="11">
        <v>37978.44</v>
      </c>
      <c r="I69" s="12">
        <f t="shared" ref="I69:I100" si="14">H69-G69</f>
        <v>8315.5300000000025</v>
      </c>
      <c r="J69" s="11">
        <f t="shared" ref="J69:J100" si="15">IF(C69=0,"",G69/C69)</f>
        <v>231.741484375</v>
      </c>
      <c r="K69" s="11">
        <f t="shared" ref="K69:K100" si="16">IF(D69=0,"",H69/D69)</f>
        <v>260.12630136986303</v>
      </c>
      <c r="L69" s="12">
        <f t="shared" ref="L69:L100" si="17">IF(OR(J69="",K69=""),"",K69-J69)</f>
        <v>28.38481699486303</v>
      </c>
      <c r="M69" s="8">
        <v>7</v>
      </c>
      <c r="N69" s="13">
        <v>7</v>
      </c>
    </row>
    <row r="70" spans="1:14" ht="23.1" customHeight="1">
      <c r="A70" s="6" t="s">
        <v>14</v>
      </c>
      <c r="B70" s="7" t="s">
        <v>178</v>
      </c>
      <c r="C70" s="8">
        <v>55</v>
      </c>
      <c r="D70" s="8">
        <v>69</v>
      </c>
      <c r="E70" s="9">
        <f t="shared" si="12"/>
        <v>14</v>
      </c>
      <c r="F70" s="10">
        <f t="shared" si="13"/>
        <v>0.25454545454545452</v>
      </c>
      <c r="G70" s="11">
        <v>11401.4</v>
      </c>
      <c r="H70" s="11">
        <v>14839.76</v>
      </c>
      <c r="I70" s="12">
        <f t="shared" si="14"/>
        <v>3438.3600000000006</v>
      </c>
      <c r="J70" s="11">
        <f t="shared" si="15"/>
        <v>207.2981818181818</v>
      </c>
      <c r="K70" s="11">
        <f t="shared" si="16"/>
        <v>215.06898550724637</v>
      </c>
      <c r="L70" s="12">
        <f t="shared" si="17"/>
        <v>7.7708036890645644</v>
      </c>
      <c r="M70" s="8">
        <v>6</v>
      </c>
      <c r="N70" s="13">
        <v>5</v>
      </c>
    </row>
    <row r="71" spans="1:14" ht="23.1" customHeight="1">
      <c r="A71" s="6" t="s">
        <v>14</v>
      </c>
      <c r="B71" s="7" t="s">
        <v>179</v>
      </c>
      <c r="C71" s="8">
        <v>11</v>
      </c>
      <c r="D71" s="8">
        <v>0</v>
      </c>
      <c r="E71" s="9">
        <f t="shared" si="12"/>
        <v>-11</v>
      </c>
      <c r="F71" s="10">
        <f t="shared" si="13"/>
        <v>-1</v>
      </c>
      <c r="G71" s="11">
        <v>5431.88</v>
      </c>
      <c r="H71" s="11">
        <v>0</v>
      </c>
      <c r="I71" s="12">
        <f t="shared" si="14"/>
        <v>-5431.88</v>
      </c>
      <c r="J71" s="11">
        <f t="shared" si="15"/>
        <v>493.80727272727273</v>
      </c>
      <c r="K71" s="11" t="str">
        <f t="shared" si="16"/>
        <v/>
      </c>
      <c r="L71" s="12" t="str">
        <f t="shared" si="17"/>
        <v/>
      </c>
      <c r="M71" s="8">
        <v>3</v>
      </c>
      <c r="N71" s="13">
        <v>0</v>
      </c>
    </row>
    <row r="72" spans="1:14" ht="23.1" customHeight="1">
      <c r="A72" s="6" t="s">
        <v>14</v>
      </c>
      <c r="B72" s="7" t="s">
        <v>180</v>
      </c>
      <c r="C72" s="8">
        <v>48</v>
      </c>
      <c r="D72" s="8">
        <v>57</v>
      </c>
      <c r="E72" s="9">
        <f t="shared" si="12"/>
        <v>9</v>
      </c>
      <c r="F72" s="10">
        <f t="shared" si="13"/>
        <v>0.1875</v>
      </c>
      <c r="G72" s="11">
        <v>123641.58</v>
      </c>
      <c r="H72" s="11">
        <v>131749.47</v>
      </c>
      <c r="I72" s="12">
        <f t="shared" si="14"/>
        <v>8107.8899999999994</v>
      </c>
      <c r="J72" s="11">
        <f t="shared" si="15"/>
        <v>2575.86625</v>
      </c>
      <c r="K72" s="11">
        <f t="shared" si="16"/>
        <v>2311.3942105263159</v>
      </c>
      <c r="L72" s="12">
        <f t="shared" si="17"/>
        <v>-264.47203947368416</v>
      </c>
      <c r="M72" s="8">
        <v>3</v>
      </c>
      <c r="N72" s="13">
        <v>5</v>
      </c>
    </row>
    <row r="73" spans="1:14" ht="23.1" customHeight="1">
      <c r="A73" s="6" t="s">
        <v>14</v>
      </c>
      <c r="B73" s="7" t="s">
        <v>181</v>
      </c>
      <c r="C73" s="8">
        <v>8</v>
      </c>
      <c r="D73" s="8">
        <v>0</v>
      </c>
      <c r="E73" s="9">
        <f t="shared" si="12"/>
        <v>-8</v>
      </c>
      <c r="F73" s="10">
        <f t="shared" si="13"/>
        <v>-1</v>
      </c>
      <c r="G73" s="11">
        <v>373.76</v>
      </c>
      <c r="H73" s="11">
        <v>0</v>
      </c>
      <c r="I73" s="12">
        <f t="shared" si="14"/>
        <v>-373.76</v>
      </c>
      <c r="J73" s="11">
        <f t="shared" si="15"/>
        <v>46.72</v>
      </c>
      <c r="K73" s="11" t="str">
        <f t="shared" si="16"/>
        <v/>
      </c>
      <c r="L73" s="12" t="str">
        <f t="shared" si="17"/>
        <v/>
      </c>
      <c r="M73" s="8">
        <v>1</v>
      </c>
      <c r="N73" s="13">
        <v>0</v>
      </c>
    </row>
    <row r="74" spans="1:14" ht="23.1" customHeight="1">
      <c r="A74" s="6" t="s">
        <v>14</v>
      </c>
      <c r="B74" s="7" t="s">
        <v>182</v>
      </c>
      <c r="C74" s="8">
        <v>8</v>
      </c>
      <c r="D74" s="8">
        <v>0</v>
      </c>
      <c r="E74" s="9">
        <f t="shared" si="12"/>
        <v>-8</v>
      </c>
      <c r="F74" s="10">
        <f t="shared" si="13"/>
        <v>-1</v>
      </c>
      <c r="G74" s="11">
        <v>1181.4000000000001</v>
      </c>
      <c r="H74" s="11">
        <v>0</v>
      </c>
      <c r="I74" s="12">
        <f t="shared" si="14"/>
        <v>-1181.4000000000001</v>
      </c>
      <c r="J74" s="11">
        <f t="shared" si="15"/>
        <v>147.67500000000001</v>
      </c>
      <c r="K74" s="11" t="str">
        <f t="shared" si="16"/>
        <v/>
      </c>
      <c r="L74" s="12" t="str">
        <f t="shared" si="17"/>
        <v/>
      </c>
      <c r="M74" s="8">
        <v>2</v>
      </c>
      <c r="N74" s="13">
        <v>0</v>
      </c>
    </row>
    <row r="75" spans="1:14" ht="23.1" customHeight="1">
      <c r="A75" s="6" t="s">
        <v>14</v>
      </c>
      <c r="B75" s="7" t="s">
        <v>183</v>
      </c>
      <c r="C75" s="8">
        <v>8</v>
      </c>
      <c r="D75" s="8">
        <v>0</v>
      </c>
      <c r="E75" s="9">
        <f t="shared" si="12"/>
        <v>-8</v>
      </c>
      <c r="F75" s="10">
        <f t="shared" si="13"/>
        <v>-1</v>
      </c>
      <c r="G75" s="11">
        <v>373.76</v>
      </c>
      <c r="H75" s="11">
        <v>0</v>
      </c>
      <c r="I75" s="12">
        <f t="shared" si="14"/>
        <v>-373.76</v>
      </c>
      <c r="J75" s="11">
        <f t="shared" si="15"/>
        <v>46.72</v>
      </c>
      <c r="K75" s="11" t="str">
        <f t="shared" si="16"/>
        <v/>
      </c>
      <c r="L75" s="12" t="str">
        <f t="shared" si="17"/>
        <v/>
      </c>
      <c r="M75" s="8">
        <v>1</v>
      </c>
      <c r="N75" s="13">
        <v>0</v>
      </c>
    </row>
    <row r="76" spans="1:14" ht="23.1" customHeight="1">
      <c r="A76" s="6" t="s">
        <v>14</v>
      </c>
      <c r="B76" s="7" t="s">
        <v>184</v>
      </c>
      <c r="C76" s="8">
        <v>7</v>
      </c>
      <c r="D76" s="8">
        <v>0</v>
      </c>
      <c r="E76" s="9">
        <f t="shared" si="12"/>
        <v>-7</v>
      </c>
      <c r="F76" s="10">
        <f t="shared" si="13"/>
        <v>-1</v>
      </c>
      <c r="G76" s="11">
        <v>3782.7</v>
      </c>
      <c r="H76" s="11">
        <v>0</v>
      </c>
      <c r="I76" s="12">
        <f t="shared" si="14"/>
        <v>-3782.7</v>
      </c>
      <c r="J76" s="11">
        <f t="shared" si="15"/>
        <v>540.38571428571424</v>
      </c>
      <c r="K76" s="11" t="str">
        <f t="shared" si="16"/>
        <v/>
      </c>
      <c r="L76" s="12" t="str">
        <f t="shared" si="17"/>
        <v/>
      </c>
      <c r="M76" s="8">
        <v>7</v>
      </c>
      <c r="N76" s="13">
        <v>0</v>
      </c>
    </row>
    <row r="77" spans="1:14" ht="23.1" customHeight="1">
      <c r="A77" s="6" t="s">
        <v>14</v>
      </c>
      <c r="B77" s="7" t="s">
        <v>185</v>
      </c>
      <c r="C77" s="8">
        <v>189</v>
      </c>
      <c r="D77" s="8">
        <v>195</v>
      </c>
      <c r="E77" s="9">
        <f t="shared" si="12"/>
        <v>6</v>
      </c>
      <c r="F77" s="10">
        <f t="shared" si="13"/>
        <v>3.1746031746031744E-2</v>
      </c>
      <c r="G77" s="11">
        <v>142126.41</v>
      </c>
      <c r="H77" s="11">
        <v>150582.93</v>
      </c>
      <c r="I77" s="12">
        <f t="shared" si="14"/>
        <v>8456.5199999999895</v>
      </c>
      <c r="J77" s="11">
        <f t="shared" si="15"/>
        <v>751.99158730158729</v>
      </c>
      <c r="K77" s="11">
        <f t="shared" si="16"/>
        <v>772.22015384615383</v>
      </c>
      <c r="L77" s="12">
        <f t="shared" si="17"/>
        <v>20.228566544566547</v>
      </c>
      <c r="M77" s="8">
        <v>11</v>
      </c>
      <c r="N77" s="13">
        <v>14</v>
      </c>
    </row>
    <row r="78" spans="1:14" ht="23.1" customHeight="1">
      <c r="A78" s="6" t="s">
        <v>14</v>
      </c>
      <c r="B78" s="7" t="s">
        <v>186</v>
      </c>
      <c r="C78" s="8">
        <v>126</v>
      </c>
      <c r="D78" s="8">
        <v>132</v>
      </c>
      <c r="E78" s="9">
        <f t="shared" si="12"/>
        <v>6</v>
      </c>
      <c r="F78" s="10">
        <f t="shared" si="13"/>
        <v>4.7619047619047616E-2</v>
      </c>
      <c r="G78" s="11">
        <v>31448.57</v>
      </c>
      <c r="H78" s="11">
        <v>38749.440000000002</v>
      </c>
      <c r="I78" s="12">
        <f t="shared" si="14"/>
        <v>7300.8700000000026</v>
      </c>
      <c r="J78" s="11">
        <f t="shared" si="15"/>
        <v>249.59182539682539</v>
      </c>
      <c r="K78" s="11">
        <f t="shared" si="16"/>
        <v>293.55636363636364</v>
      </c>
      <c r="L78" s="12">
        <f t="shared" si="17"/>
        <v>43.964538239538257</v>
      </c>
      <c r="M78" s="8">
        <v>8</v>
      </c>
      <c r="N78" s="13">
        <v>8</v>
      </c>
    </row>
    <row r="79" spans="1:14" ht="23.1" customHeight="1">
      <c r="A79" s="6" t="s">
        <v>14</v>
      </c>
      <c r="B79" s="7" t="s">
        <v>187</v>
      </c>
      <c r="C79" s="8">
        <v>79</v>
      </c>
      <c r="D79" s="8">
        <v>75</v>
      </c>
      <c r="E79" s="9">
        <f t="shared" si="12"/>
        <v>-4</v>
      </c>
      <c r="F79" s="10">
        <f t="shared" si="13"/>
        <v>-5.0632911392405063E-2</v>
      </c>
      <c r="G79" s="11">
        <v>11469.83</v>
      </c>
      <c r="H79" s="11">
        <v>11197.34</v>
      </c>
      <c r="I79" s="12">
        <f t="shared" si="14"/>
        <v>-272.48999999999978</v>
      </c>
      <c r="J79" s="11">
        <f t="shared" si="15"/>
        <v>145.18772151898733</v>
      </c>
      <c r="K79" s="11">
        <f t="shared" si="16"/>
        <v>149.29786666666666</v>
      </c>
      <c r="L79" s="12">
        <f t="shared" si="17"/>
        <v>4.1101451476793329</v>
      </c>
      <c r="M79" s="8">
        <v>5</v>
      </c>
      <c r="N79" s="13">
        <v>5</v>
      </c>
    </row>
    <row r="80" spans="1:14" ht="23.1" customHeight="1">
      <c r="A80" s="6" t="s">
        <v>14</v>
      </c>
      <c r="B80" s="7" t="s">
        <v>188</v>
      </c>
      <c r="C80" s="8">
        <v>3</v>
      </c>
      <c r="D80" s="8">
        <v>0</v>
      </c>
      <c r="E80" s="9">
        <f t="shared" si="12"/>
        <v>-3</v>
      </c>
      <c r="F80" s="10">
        <f t="shared" si="13"/>
        <v>-1</v>
      </c>
      <c r="G80" s="11">
        <v>620.16999999999996</v>
      </c>
      <c r="H80" s="11">
        <v>0</v>
      </c>
      <c r="I80" s="12">
        <f t="shared" si="14"/>
        <v>-620.16999999999996</v>
      </c>
      <c r="J80" s="11">
        <f t="shared" si="15"/>
        <v>206.72333333333333</v>
      </c>
      <c r="K80" s="11" t="str">
        <f t="shared" si="16"/>
        <v/>
      </c>
      <c r="L80" s="12" t="str">
        <f t="shared" si="17"/>
        <v/>
      </c>
      <c r="M80" s="8">
        <v>2</v>
      </c>
      <c r="N80" s="13">
        <v>0</v>
      </c>
    </row>
    <row r="81" spans="1:14" ht="23.1" customHeight="1">
      <c r="A81" s="6" t="s">
        <v>14</v>
      </c>
      <c r="B81" s="7" t="s">
        <v>189</v>
      </c>
      <c r="C81" s="8">
        <v>209</v>
      </c>
      <c r="D81" s="8">
        <v>207</v>
      </c>
      <c r="E81" s="9">
        <f t="shared" si="12"/>
        <v>-2</v>
      </c>
      <c r="F81" s="10">
        <f t="shared" si="13"/>
        <v>-9.5693779904306216E-3</v>
      </c>
      <c r="G81" s="11">
        <v>131342.67000000001</v>
      </c>
      <c r="H81" s="11">
        <v>119348.08</v>
      </c>
      <c r="I81" s="12">
        <f t="shared" si="14"/>
        <v>-11994.590000000011</v>
      </c>
      <c r="J81" s="11">
        <f t="shared" si="15"/>
        <v>628.43382775119619</v>
      </c>
      <c r="K81" s="11">
        <f t="shared" si="16"/>
        <v>576.56077294685986</v>
      </c>
      <c r="L81" s="12">
        <f t="shared" si="17"/>
        <v>-51.873054804336334</v>
      </c>
      <c r="M81" s="8">
        <v>13</v>
      </c>
      <c r="N81" s="13">
        <v>12</v>
      </c>
    </row>
    <row r="82" spans="1:14" ht="23.1" customHeight="1">
      <c r="A82" s="6" t="s">
        <v>14</v>
      </c>
      <c r="B82" s="7" t="s">
        <v>190</v>
      </c>
      <c r="C82" s="8">
        <v>179</v>
      </c>
      <c r="D82" s="8">
        <v>177</v>
      </c>
      <c r="E82" s="9">
        <f t="shared" si="12"/>
        <v>-2</v>
      </c>
      <c r="F82" s="10">
        <f t="shared" si="13"/>
        <v>-1.11731843575419E-2</v>
      </c>
      <c r="G82" s="11">
        <v>125894.9</v>
      </c>
      <c r="H82" s="11">
        <v>108753.38</v>
      </c>
      <c r="I82" s="12">
        <f t="shared" si="14"/>
        <v>-17141.51999999999</v>
      </c>
      <c r="J82" s="11">
        <f t="shared" si="15"/>
        <v>703.32346368715082</v>
      </c>
      <c r="K82" s="11">
        <f t="shared" si="16"/>
        <v>614.4258757062147</v>
      </c>
      <c r="L82" s="12">
        <f t="shared" si="17"/>
        <v>-88.897587980936123</v>
      </c>
      <c r="M82" s="8">
        <v>11</v>
      </c>
      <c r="N82" s="13">
        <v>11</v>
      </c>
    </row>
    <row r="83" spans="1:14" ht="23.1" customHeight="1">
      <c r="A83" s="6" t="s">
        <v>14</v>
      </c>
      <c r="B83" s="7" t="s">
        <v>191</v>
      </c>
      <c r="C83" s="8">
        <v>70</v>
      </c>
      <c r="D83" s="8">
        <v>70</v>
      </c>
      <c r="E83" s="9">
        <f t="shared" si="12"/>
        <v>0</v>
      </c>
      <c r="F83" s="10">
        <f t="shared" si="13"/>
        <v>0</v>
      </c>
      <c r="G83" s="11">
        <v>44206.83</v>
      </c>
      <c r="H83" s="11">
        <v>42420.88</v>
      </c>
      <c r="I83" s="12">
        <f t="shared" si="14"/>
        <v>-1785.9500000000044</v>
      </c>
      <c r="J83" s="11">
        <f t="shared" si="15"/>
        <v>631.52614285714287</v>
      </c>
      <c r="K83" s="11">
        <f t="shared" si="16"/>
        <v>606.01257142857139</v>
      </c>
      <c r="L83" s="12">
        <f t="shared" si="17"/>
        <v>-25.513571428571481</v>
      </c>
      <c r="M83" s="8">
        <v>12</v>
      </c>
      <c r="N83" s="13">
        <v>9</v>
      </c>
    </row>
    <row r="84" spans="1:14" ht="23.1" customHeight="1">
      <c r="A84" s="6" t="s">
        <v>15</v>
      </c>
      <c r="B84" s="7" t="s">
        <v>192</v>
      </c>
      <c r="C84" s="8">
        <v>346</v>
      </c>
      <c r="D84" s="8">
        <v>0</v>
      </c>
      <c r="E84" s="9">
        <f t="shared" si="12"/>
        <v>-346</v>
      </c>
      <c r="F84" s="10">
        <f t="shared" si="13"/>
        <v>-1</v>
      </c>
      <c r="G84" s="11">
        <v>256041.27</v>
      </c>
      <c r="H84" s="11">
        <v>0</v>
      </c>
      <c r="I84" s="12">
        <f t="shared" si="14"/>
        <v>-256041.27</v>
      </c>
      <c r="J84" s="11">
        <f t="shared" si="15"/>
        <v>740.00367052023114</v>
      </c>
      <c r="K84" s="11" t="str">
        <f t="shared" si="16"/>
        <v/>
      </c>
      <c r="L84" s="12" t="str">
        <f t="shared" si="17"/>
        <v/>
      </c>
      <c r="M84" s="8">
        <v>16</v>
      </c>
      <c r="N84" s="13">
        <v>0</v>
      </c>
    </row>
    <row r="85" spans="1:14" ht="23.1" customHeight="1">
      <c r="A85" s="6" t="s">
        <v>15</v>
      </c>
      <c r="B85" s="7" t="s">
        <v>193</v>
      </c>
      <c r="C85" s="8">
        <v>313</v>
      </c>
      <c r="D85" s="8">
        <v>0</v>
      </c>
      <c r="E85" s="9">
        <f t="shared" si="12"/>
        <v>-313</v>
      </c>
      <c r="F85" s="10">
        <f t="shared" si="13"/>
        <v>-1</v>
      </c>
      <c r="G85" s="11">
        <v>87412.11</v>
      </c>
      <c r="H85" s="11">
        <v>0</v>
      </c>
      <c r="I85" s="12">
        <f t="shared" si="14"/>
        <v>-87412.11</v>
      </c>
      <c r="J85" s="11">
        <f t="shared" si="15"/>
        <v>279.27191693290735</v>
      </c>
      <c r="K85" s="11" t="str">
        <f t="shared" si="16"/>
        <v/>
      </c>
      <c r="L85" s="12" t="str">
        <f t="shared" si="17"/>
        <v/>
      </c>
      <c r="M85" s="8">
        <v>6</v>
      </c>
      <c r="N85" s="13">
        <v>0</v>
      </c>
    </row>
    <row r="86" spans="1:14" ht="23.1" customHeight="1">
      <c r="A86" s="6" t="s">
        <v>15</v>
      </c>
      <c r="B86" s="7" t="s">
        <v>194</v>
      </c>
      <c r="C86" s="8">
        <v>247</v>
      </c>
      <c r="D86" s="8">
        <v>0</v>
      </c>
      <c r="E86" s="9">
        <f t="shared" si="12"/>
        <v>-247</v>
      </c>
      <c r="F86" s="10">
        <f t="shared" si="13"/>
        <v>-1</v>
      </c>
      <c r="G86" s="11">
        <v>117547.08</v>
      </c>
      <c r="H86" s="11">
        <v>0</v>
      </c>
      <c r="I86" s="12">
        <f t="shared" si="14"/>
        <v>-117547.08</v>
      </c>
      <c r="J86" s="11">
        <f t="shared" si="15"/>
        <v>475.89910931174092</v>
      </c>
      <c r="K86" s="11" t="str">
        <f t="shared" si="16"/>
        <v/>
      </c>
      <c r="L86" s="12" t="str">
        <f t="shared" si="17"/>
        <v/>
      </c>
      <c r="M86" s="8">
        <v>11</v>
      </c>
      <c r="N86" s="13">
        <v>0</v>
      </c>
    </row>
    <row r="87" spans="1:14" ht="23.1" customHeight="1">
      <c r="A87" s="6" t="s">
        <v>15</v>
      </c>
      <c r="B87" s="7" t="s">
        <v>195</v>
      </c>
      <c r="C87" s="8">
        <v>3</v>
      </c>
      <c r="D87" s="8">
        <v>243</v>
      </c>
      <c r="E87" s="9">
        <f t="shared" si="12"/>
        <v>240</v>
      </c>
      <c r="F87" s="10">
        <f t="shared" si="13"/>
        <v>80</v>
      </c>
      <c r="G87" s="11">
        <v>1562.43</v>
      </c>
      <c r="H87" s="11">
        <v>144097.85999999999</v>
      </c>
      <c r="I87" s="12">
        <f t="shared" si="14"/>
        <v>142535.43</v>
      </c>
      <c r="J87" s="11">
        <f t="shared" si="15"/>
        <v>520.81000000000006</v>
      </c>
      <c r="K87" s="11">
        <f t="shared" si="16"/>
        <v>592.99530864197527</v>
      </c>
      <c r="L87" s="12">
        <f t="shared" si="17"/>
        <v>72.185308641975212</v>
      </c>
      <c r="M87" s="8">
        <v>1</v>
      </c>
      <c r="N87" s="13">
        <v>15</v>
      </c>
    </row>
    <row r="88" spans="1:14" ht="23.1" customHeight="1">
      <c r="A88" s="6" t="s">
        <v>15</v>
      </c>
      <c r="B88" s="7" t="s">
        <v>196</v>
      </c>
      <c r="C88" s="8">
        <v>234</v>
      </c>
      <c r="D88" s="8">
        <v>0</v>
      </c>
      <c r="E88" s="9">
        <f t="shared" si="12"/>
        <v>-234</v>
      </c>
      <c r="F88" s="10">
        <f t="shared" si="13"/>
        <v>-1</v>
      </c>
      <c r="G88" s="11">
        <v>168270.98</v>
      </c>
      <c r="H88" s="11">
        <v>0</v>
      </c>
      <c r="I88" s="12">
        <f t="shared" si="14"/>
        <v>-168270.98</v>
      </c>
      <c r="J88" s="11">
        <f t="shared" si="15"/>
        <v>719.10675213675222</v>
      </c>
      <c r="K88" s="11" t="str">
        <f t="shared" si="16"/>
        <v/>
      </c>
      <c r="L88" s="12" t="str">
        <f t="shared" si="17"/>
        <v/>
      </c>
      <c r="M88" s="8">
        <v>13</v>
      </c>
      <c r="N88" s="13">
        <v>0</v>
      </c>
    </row>
    <row r="89" spans="1:14" ht="23.1" customHeight="1">
      <c r="A89" s="6" t="s">
        <v>15</v>
      </c>
      <c r="B89" s="7" t="s">
        <v>197</v>
      </c>
      <c r="C89" s="8">
        <v>215</v>
      </c>
      <c r="D89" s="8">
        <v>0</v>
      </c>
      <c r="E89" s="9">
        <f t="shared" si="12"/>
        <v>-215</v>
      </c>
      <c r="F89" s="10">
        <f t="shared" si="13"/>
        <v>-1</v>
      </c>
      <c r="G89" s="11">
        <v>159027.14000000001</v>
      </c>
      <c r="H89" s="11">
        <v>0</v>
      </c>
      <c r="I89" s="12">
        <f t="shared" si="14"/>
        <v>-159027.14000000001</v>
      </c>
      <c r="J89" s="11">
        <f t="shared" si="15"/>
        <v>739.6611162790698</v>
      </c>
      <c r="K89" s="11" t="str">
        <f t="shared" si="16"/>
        <v/>
      </c>
      <c r="L89" s="12" t="str">
        <f t="shared" si="17"/>
        <v/>
      </c>
      <c r="M89" s="8">
        <v>11</v>
      </c>
      <c r="N89" s="13">
        <v>0</v>
      </c>
    </row>
    <row r="90" spans="1:14" ht="23.1" customHeight="1">
      <c r="A90" s="6" t="s">
        <v>15</v>
      </c>
      <c r="B90" s="7" t="s">
        <v>198</v>
      </c>
      <c r="C90" s="8">
        <v>41</v>
      </c>
      <c r="D90" s="8">
        <v>246</v>
      </c>
      <c r="E90" s="9">
        <f t="shared" si="12"/>
        <v>205</v>
      </c>
      <c r="F90" s="10">
        <f t="shared" si="13"/>
        <v>5</v>
      </c>
      <c r="G90" s="11">
        <v>13599.02</v>
      </c>
      <c r="H90" s="11">
        <v>77013.509999999995</v>
      </c>
      <c r="I90" s="12">
        <f t="shared" si="14"/>
        <v>63414.489999999991</v>
      </c>
      <c r="J90" s="11">
        <f t="shared" si="15"/>
        <v>331.68341463414635</v>
      </c>
      <c r="K90" s="11">
        <f t="shared" si="16"/>
        <v>313.0630487804878</v>
      </c>
      <c r="L90" s="12">
        <f t="shared" si="17"/>
        <v>-18.620365853658541</v>
      </c>
      <c r="M90" s="8">
        <v>6</v>
      </c>
      <c r="N90" s="13">
        <v>9</v>
      </c>
    </row>
    <row r="91" spans="1:14" ht="23.1" customHeight="1">
      <c r="A91" s="6" t="s">
        <v>15</v>
      </c>
      <c r="B91" s="7" t="s">
        <v>152</v>
      </c>
      <c r="C91" s="8">
        <v>200</v>
      </c>
      <c r="D91" s="8">
        <v>2</v>
      </c>
      <c r="E91" s="9">
        <f t="shared" si="12"/>
        <v>-198</v>
      </c>
      <c r="F91" s="10">
        <f t="shared" si="13"/>
        <v>-0.99</v>
      </c>
      <c r="G91" s="11">
        <v>165302.74</v>
      </c>
      <c r="H91" s="11">
        <v>878.58</v>
      </c>
      <c r="I91" s="12">
        <f t="shared" si="14"/>
        <v>-164424.16</v>
      </c>
      <c r="J91" s="11">
        <f t="shared" si="15"/>
        <v>826.51369999999997</v>
      </c>
      <c r="K91" s="11">
        <f t="shared" si="16"/>
        <v>439.29</v>
      </c>
      <c r="L91" s="12">
        <f t="shared" si="17"/>
        <v>-387.22369999999995</v>
      </c>
      <c r="M91" s="8">
        <v>13</v>
      </c>
      <c r="N91" s="13">
        <v>1</v>
      </c>
    </row>
    <row r="92" spans="1:14" ht="23.1" customHeight="1">
      <c r="A92" s="6" t="s">
        <v>15</v>
      </c>
      <c r="B92" s="7" t="s">
        <v>199</v>
      </c>
      <c r="C92" s="8">
        <v>0</v>
      </c>
      <c r="D92" s="8">
        <v>174</v>
      </c>
      <c r="E92" s="9">
        <f t="shared" si="12"/>
        <v>174</v>
      </c>
      <c r="F92" s="10" t="str">
        <f t="shared" si="13"/>
        <v/>
      </c>
      <c r="G92" s="11">
        <v>0</v>
      </c>
      <c r="H92" s="11">
        <v>43668.98</v>
      </c>
      <c r="I92" s="12">
        <f t="shared" si="14"/>
        <v>43668.98</v>
      </c>
      <c r="J92" s="11" t="str">
        <f t="shared" si="15"/>
        <v/>
      </c>
      <c r="K92" s="11">
        <f t="shared" si="16"/>
        <v>250.97114942528736</v>
      </c>
      <c r="L92" s="12" t="str">
        <f t="shared" si="17"/>
        <v/>
      </c>
      <c r="M92" s="8">
        <v>0</v>
      </c>
      <c r="N92" s="13">
        <v>6</v>
      </c>
    </row>
    <row r="93" spans="1:14" ht="23.1" customHeight="1">
      <c r="A93" s="6" t="s">
        <v>15</v>
      </c>
      <c r="B93" s="7" t="s">
        <v>200</v>
      </c>
      <c r="C93" s="8">
        <v>551</v>
      </c>
      <c r="D93" s="8">
        <v>394</v>
      </c>
      <c r="E93" s="9">
        <f t="shared" si="12"/>
        <v>-157</v>
      </c>
      <c r="F93" s="10">
        <f t="shared" si="13"/>
        <v>-0.28493647912885661</v>
      </c>
      <c r="G93" s="11">
        <v>33787.32</v>
      </c>
      <c r="H93" s="11">
        <v>24160.080000000002</v>
      </c>
      <c r="I93" s="12">
        <f t="shared" si="14"/>
        <v>-9627.239999999998</v>
      </c>
      <c r="J93" s="11">
        <f t="shared" si="15"/>
        <v>61.32</v>
      </c>
      <c r="K93" s="11">
        <f t="shared" si="16"/>
        <v>61.320000000000007</v>
      </c>
      <c r="L93" s="12">
        <f t="shared" si="17"/>
        <v>7.1054273576010019E-15</v>
      </c>
      <c r="M93" s="8">
        <v>1</v>
      </c>
      <c r="N93" s="13">
        <v>1</v>
      </c>
    </row>
    <row r="94" spans="1:14" ht="23.1" customHeight="1">
      <c r="A94" s="6" t="s">
        <v>15</v>
      </c>
      <c r="B94" s="7" t="s">
        <v>201</v>
      </c>
      <c r="C94" s="8">
        <v>367</v>
      </c>
      <c r="D94" s="8">
        <v>214</v>
      </c>
      <c r="E94" s="9">
        <f t="shared" si="12"/>
        <v>-153</v>
      </c>
      <c r="F94" s="10">
        <f t="shared" si="13"/>
        <v>-0.41689373297002724</v>
      </c>
      <c r="G94" s="11">
        <v>163278.04</v>
      </c>
      <c r="H94" s="11">
        <v>104070.98</v>
      </c>
      <c r="I94" s="12">
        <f t="shared" si="14"/>
        <v>-59207.060000000012</v>
      </c>
      <c r="J94" s="11">
        <f t="shared" si="15"/>
        <v>444.89929155313354</v>
      </c>
      <c r="K94" s="11">
        <f t="shared" si="16"/>
        <v>486.31299065420558</v>
      </c>
      <c r="L94" s="12">
        <f t="shared" si="17"/>
        <v>41.413699101072041</v>
      </c>
      <c r="M94" s="8">
        <v>13</v>
      </c>
      <c r="N94" s="13">
        <v>11</v>
      </c>
    </row>
    <row r="95" spans="1:14" ht="23.1" customHeight="1">
      <c r="A95" s="6" t="s">
        <v>15</v>
      </c>
      <c r="B95" s="7" t="s">
        <v>202</v>
      </c>
      <c r="C95" s="8">
        <v>357</v>
      </c>
      <c r="D95" s="8">
        <v>208</v>
      </c>
      <c r="E95" s="9">
        <f t="shared" si="12"/>
        <v>-149</v>
      </c>
      <c r="F95" s="10">
        <f t="shared" si="13"/>
        <v>-0.4173669467787115</v>
      </c>
      <c r="G95" s="11">
        <v>194120.56</v>
      </c>
      <c r="H95" s="11">
        <v>116839.37</v>
      </c>
      <c r="I95" s="12">
        <f t="shared" si="14"/>
        <v>-77281.19</v>
      </c>
      <c r="J95" s="11">
        <f t="shared" si="15"/>
        <v>543.75507002801123</v>
      </c>
      <c r="K95" s="11">
        <f t="shared" si="16"/>
        <v>561.72774038461534</v>
      </c>
      <c r="L95" s="12">
        <f t="shared" si="17"/>
        <v>17.972670356604112</v>
      </c>
      <c r="M95" s="8">
        <v>14</v>
      </c>
      <c r="N95" s="13">
        <v>12</v>
      </c>
    </row>
    <row r="96" spans="1:14" ht="23.1" customHeight="1">
      <c r="A96" s="6" t="s">
        <v>15</v>
      </c>
      <c r="B96" s="7" t="s">
        <v>203</v>
      </c>
      <c r="C96" s="8">
        <v>37</v>
      </c>
      <c r="D96" s="8">
        <v>174</v>
      </c>
      <c r="E96" s="9">
        <f t="shared" si="12"/>
        <v>137</v>
      </c>
      <c r="F96" s="10">
        <f t="shared" si="13"/>
        <v>3.7027027027027026</v>
      </c>
      <c r="G96" s="11">
        <v>18971.439999999999</v>
      </c>
      <c r="H96" s="11">
        <v>125819.38</v>
      </c>
      <c r="I96" s="12">
        <f t="shared" si="14"/>
        <v>106847.94</v>
      </c>
      <c r="J96" s="11">
        <f t="shared" si="15"/>
        <v>512.74162162162156</v>
      </c>
      <c r="K96" s="11">
        <f t="shared" si="16"/>
        <v>723.09988505747128</v>
      </c>
      <c r="L96" s="12">
        <f t="shared" si="17"/>
        <v>210.35826343584972</v>
      </c>
      <c r="M96" s="8">
        <v>9</v>
      </c>
      <c r="N96" s="13">
        <v>14</v>
      </c>
    </row>
    <row r="97" spans="1:14" ht="23.1" customHeight="1">
      <c r="A97" s="6" t="s">
        <v>15</v>
      </c>
      <c r="B97" s="7" t="s">
        <v>135</v>
      </c>
      <c r="C97" s="8">
        <v>126</v>
      </c>
      <c r="D97" s="8">
        <v>0</v>
      </c>
      <c r="E97" s="9">
        <f t="shared" si="12"/>
        <v>-126</v>
      </c>
      <c r="F97" s="10">
        <f t="shared" si="13"/>
        <v>-1</v>
      </c>
      <c r="G97" s="11">
        <v>88690.91</v>
      </c>
      <c r="H97" s="11">
        <v>0</v>
      </c>
      <c r="I97" s="12">
        <f t="shared" si="14"/>
        <v>-88690.91</v>
      </c>
      <c r="J97" s="11">
        <f t="shared" si="15"/>
        <v>703.89611111111117</v>
      </c>
      <c r="K97" s="11" t="str">
        <f t="shared" si="16"/>
        <v/>
      </c>
      <c r="L97" s="12" t="str">
        <f t="shared" si="17"/>
        <v/>
      </c>
      <c r="M97" s="8">
        <v>13</v>
      </c>
      <c r="N97" s="13">
        <v>0</v>
      </c>
    </row>
    <row r="98" spans="1:14" ht="23.1" customHeight="1">
      <c r="A98" s="6" t="s">
        <v>15</v>
      </c>
      <c r="B98" s="7" t="s">
        <v>204</v>
      </c>
      <c r="C98" s="8">
        <v>251</v>
      </c>
      <c r="D98" s="8">
        <v>125</v>
      </c>
      <c r="E98" s="9">
        <f t="shared" si="12"/>
        <v>-126</v>
      </c>
      <c r="F98" s="10">
        <f t="shared" si="13"/>
        <v>-0.50199203187250996</v>
      </c>
      <c r="G98" s="11">
        <v>169852.69</v>
      </c>
      <c r="H98" s="11">
        <v>81907.210000000006</v>
      </c>
      <c r="I98" s="12">
        <f t="shared" si="14"/>
        <v>-87945.48</v>
      </c>
      <c r="J98" s="11">
        <f t="shared" si="15"/>
        <v>676.70394422310756</v>
      </c>
      <c r="K98" s="11">
        <f t="shared" si="16"/>
        <v>655.25768000000005</v>
      </c>
      <c r="L98" s="12">
        <f t="shared" si="17"/>
        <v>-21.446264223107505</v>
      </c>
      <c r="M98" s="8">
        <v>11</v>
      </c>
      <c r="N98" s="13">
        <v>10</v>
      </c>
    </row>
    <row r="99" spans="1:14" ht="23.1" customHeight="1">
      <c r="A99" s="6" t="s">
        <v>15</v>
      </c>
      <c r="B99" s="7" t="s">
        <v>205</v>
      </c>
      <c r="C99" s="8">
        <v>486</v>
      </c>
      <c r="D99" s="8">
        <v>366</v>
      </c>
      <c r="E99" s="9">
        <f t="shared" si="12"/>
        <v>-120</v>
      </c>
      <c r="F99" s="10">
        <f t="shared" si="13"/>
        <v>-0.24691358024691357</v>
      </c>
      <c r="G99" s="11">
        <v>29801.52</v>
      </c>
      <c r="H99" s="11">
        <v>22443.119999999999</v>
      </c>
      <c r="I99" s="12">
        <f t="shared" si="14"/>
        <v>-7358.4000000000015</v>
      </c>
      <c r="J99" s="11">
        <f t="shared" si="15"/>
        <v>61.32</v>
      </c>
      <c r="K99" s="11">
        <f t="shared" si="16"/>
        <v>61.32</v>
      </c>
      <c r="L99" s="12">
        <f t="shared" si="17"/>
        <v>0</v>
      </c>
      <c r="M99" s="8">
        <v>1</v>
      </c>
      <c r="N99" s="13">
        <v>1</v>
      </c>
    </row>
    <row r="100" spans="1:14" ht="23.1" customHeight="1">
      <c r="A100" s="6" t="s">
        <v>15</v>
      </c>
      <c r="B100" s="7" t="s">
        <v>206</v>
      </c>
      <c r="C100" s="8">
        <v>276</v>
      </c>
      <c r="D100" s="8">
        <v>161</v>
      </c>
      <c r="E100" s="9">
        <f t="shared" si="12"/>
        <v>-115</v>
      </c>
      <c r="F100" s="10">
        <f t="shared" si="13"/>
        <v>-0.41666666666666669</v>
      </c>
      <c r="G100" s="11">
        <v>128515.85</v>
      </c>
      <c r="H100" s="11">
        <v>80766.19</v>
      </c>
      <c r="I100" s="12">
        <f t="shared" si="14"/>
        <v>-47749.66</v>
      </c>
      <c r="J100" s="11">
        <f t="shared" si="15"/>
        <v>465.63713768115946</v>
      </c>
      <c r="K100" s="11">
        <f t="shared" si="16"/>
        <v>501.65335403726709</v>
      </c>
      <c r="L100" s="12">
        <f t="shared" si="17"/>
        <v>36.016216356107634</v>
      </c>
      <c r="M100" s="8">
        <v>9</v>
      </c>
      <c r="N100" s="13">
        <v>9</v>
      </c>
    </row>
    <row r="101" spans="1:14" ht="23.1" customHeight="1">
      <c r="A101" s="6" t="s">
        <v>15</v>
      </c>
      <c r="B101" s="7" t="s">
        <v>207</v>
      </c>
      <c r="C101" s="8">
        <v>143</v>
      </c>
      <c r="D101" s="8">
        <v>30</v>
      </c>
      <c r="E101" s="9">
        <f t="shared" ref="E101:E132" si="18">D101-C101</f>
        <v>-113</v>
      </c>
      <c r="F101" s="10">
        <f t="shared" ref="F101:F132" si="19">IF(C101=0,"",E101/C101)</f>
        <v>-0.79020979020979021</v>
      </c>
      <c r="G101" s="11">
        <v>65228.77</v>
      </c>
      <c r="H101" s="11">
        <v>14863.76</v>
      </c>
      <c r="I101" s="12">
        <f t="shared" ref="I101:I132" si="20">H101-G101</f>
        <v>-50365.009999999995</v>
      </c>
      <c r="J101" s="11">
        <f t="shared" ref="J101:J132" si="21">IF(C101=0,"",G101/C101)</f>
        <v>456.14524475524473</v>
      </c>
      <c r="K101" s="11">
        <f t="shared" ref="K101:K132" si="22">IF(D101=0,"",H101/D101)</f>
        <v>495.45866666666666</v>
      </c>
      <c r="L101" s="12">
        <f t="shared" ref="L101:L132" si="23">IF(OR(J101="",K101=""),"",K101-J101)</f>
        <v>39.313421911421926</v>
      </c>
      <c r="M101" s="8">
        <v>9</v>
      </c>
      <c r="N101" s="13">
        <v>8</v>
      </c>
    </row>
    <row r="102" spans="1:14" ht="23.1" customHeight="1">
      <c r="A102" s="6" t="s">
        <v>15</v>
      </c>
      <c r="B102" s="7" t="s">
        <v>208</v>
      </c>
      <c r="C102" s="8">
        <v>301</v>
      </c>
      <c r="D102" s="8">
        <v>191</v>
      </c>
      <c r="E102" s="9">
        <f t="shared" si="18"/>
        <v>-110</v>
      </c>
      <c r="F102" s="10">
        <f t="shared" si="19"/>
        <v>-0.36544850498338871</v>
      </c>
      <c r="G102" s="11">
        <v>116886.08</v>
      </c>
      <c r="H102" s="11">
        <v>55328</v>
      </c>
      <c r="I102" s="12">
        <f t="shared" si="20"/>
        <v>-61558.080000000002</v>
      </c>
      <c r="J102" s="11">
        <f t="shared" si="21"/>
        <v>388.32584717607972</v>
      </c>
      <c r="K102" s="11">
        <f t="shared" si="22"/>
        <v>289.67539267015707</v>
      </c>
      <c r="L102" s="12">
        <f t="shared" si="23"/>
        <v>-98.650454505922653</v>
      </c>
      <c r="M102" s="8">
        <v>7</v>
      </c>
      <c r="N102" s="13">
        <v>6</v>
      </c>
    </row>
    <row r="103" spans="1:14" ht="23.1" customHeight="1">
      <c r="A103" s="6" t="s">
        <v>15</v>
      </c>
      <c r="B103" s="7" t="s">
        <v>209</v>
      </c>
      <c r="C103" s="8">
        <v>183</v>
      </c>
      <c r="D103" s="8">
        <v>83</v>
      </c>
      <c r="E103" s="9">
        <f t="shared" si="18"/>
        <v>-100</v>
      </c>
      <c r="F103" s="10">
        <f t="shared" si="19"/>
        <v>-0.54644808743169404</v>
      </c>
      <c r="G103" s="11">
        <v>91112.45</v>
      </c>
      <c r="H103" s="11">
        <v>42924.12</v>
      </c>
      <c r="I103" s="12">
        <f t="shared" si="20"/>
        <v>-48188.329999999994</v>
      </c>
      <c r="J103" s="11">
        <f t="shared" si="21"/>
        <v>497.88224043715843</v>
      </c>
      <c r="K103" s="11">
        <f t="shared" si="22"/>
        <v>517.15807228915662</v>
      </c>
      <c r="L103" s="12">
        <f t="shared" si="23"/>
        <v>19.275831851998191</v>
      </c>
      <c r="M103" s="8">
        <v>9</v>
      </c>
      <c r="N103" s="13">
        <v>8</v>
      </c>
    </row>
    <row r="104" spans="1:14" ht="23.1" customHeight="1">
      <c r="A104" s="6" t="s">
        <v>15</v>
      </c>
      <c r="B104" s="7" t="s">
        <v>210</v>
      </c>
      <c r="C104" s="8">
        <v>230</v>
      </c>
      <c r="D104" s="8">
        <v>136</v>
      </c>
      <c r="E104" s="9">
        <f t="shared" si="18"/>
        <v>-94</v>
      </c>
      <c r="F104" s="10">
        <f t="shared" si="19"/>
        <v>-0.40869565217391307</v>
      </c>
      <c r="G104" s="11">
        <v>85990.81</v>
      </c>
      <c r="H104" s="11">
        <v>59732.39</v>
      </c>
      <c r="I104" s="12">
        <f t="shared" si="20"/>
        <v>-26258.42</v>
      </c>
      <c r="J104" s="11">
        <f t="shared" si="21"/>
        <v>373.87308695652172</v>
      </c>
      <c r="K104" s="11">
        <f t="shared" si="22"/>
        <v>439.20875000000001</v>
      </c>
      <c r="L104" s="12">
        <f t="shared" si="23"/>
        <v>65.335663043478291</v>
      </c>
      <c r="M104" s="8">
        <v>9</v>
      </c>
      <c r="N104" s="13">
        <v>10</v>
      </c>
    </row>
    <row r="105" spans="1:14" ht="23.1" customHeight="1">
      <c r="A105" s="6" t="s">
        <v>15</v>
      </c>
      <c r="B105" s="7" t="s">
        <v>211</v>
      </c>
      <c r="C105" s="8">
        <v>232</v>
      </c>
      <c r="D105" s="8">
        <v>141</v>
      </c>
      <c r="E105" s="9">
        <f t="shared" si="18"/>
        <v>-91</v>
      </c>
      <c r="F105" s="10">
        <f t="shared" si="19"/>
        <v>-0.39224137931034481</v>
      </c>
      <c r="G105" s="11">
        <v>165305.71</v>
      </c>
      <c r="H105" s="11">
        <v>100417.93</v>
      </c>
      <c r="I105" s="12">
        <f t="shared" si="20"/>
        <v>-64887.78</v>
      </c>
      <c r="J105" s="11">
        <f t="shared" si="21"/>
        <v>712.52461206896544</v>
      </c>
      <c r="K105" s="11">
        <f t="shared" si="22"/>
        <v>712.18390070921976</v>
      </c>
      <c r="L105" s="12">
        <f t="shared" si="23"/>
        <v>-0.34071135974568278</v>
      </c>
      <c r="M105" s="8">
        <v>11</v>
      </c>
      <c r="N105" s="13">
        <v>12</v>
      </c>
    </row>
    <row r="106" spans="1:14" ht="23.1" customHeight="1">
      <c r="A106" s="6" t="s">
        <v>15</v>
      </c>
      <c r="B106" s="7" t="s">
        <v>212</v>
      </c>
      <c r="C106" s="8">
        <v>242</v>
      </c>
      <c r="D106" s="8">
        <v>154</v>
      </c>
      <c r="E106" s="9">
        <f t="shared" si="18"/>
        <v>-88</v>
      </c>
      <c r="F106" s="10">
        <f t="shared" si="19"/>
        <v>-0.36363636363636365</v>
      </c>
      <c r="G106" s="11">
        <v>126575.03999999999</v>
      </c>
      <c r="H106" s="11">
        <v>105013.14</v>
      </c>
      <c r="I106" s="12">
        <f t="shared" si="20"/>
        <v>-21561.899999999994</v>
      </c>
      <c r="J106" s="11">
        <f t="shared" si="21"/>
        <v>523.03735537190084</v>
      </c>
      <c r="K106" s="11">
        <f t="shared" si="22"/>
        <v>681.90350649350648</v>
      </c>
      <c r="L106" s="12">
        <f t="shared" si="23"/>
        <v>158.86615112160564</v>
      </c>
      <c r="M106" s="8">
        <v>12</v>
      </c>
      <c r="N106" s="13">
        <v>13</v>
      </c>
    </row>
    <row r="107" spans="1:14" ht="23.1" customHeight="1">
      <c r="A107" s="6" t="s">
        <v>15</v>
      </c>
      <c r="B107" s="7" t="s">
        <v>213</v>
      </c>
      <c r="C107" s="8">
        <v>140</v>
      </c>
      <c r="D107" s="8">
        <v>55</v>
      </c>
      <c r="E107" s="9">
        <f t="shared" si="18"/>
        <v>-85</v>
      </c>
      <c r="F107" s="10">
        <f t="shared" si="19"/>
        <v>-0.6071428571428571</v>
      </c>
      <c r="G107" s="11">
        <v>59801.67</v>
      </c>
      <c r="H107" s="11">
        <v>35044.080000000002</v>
      </c>
      <c r="I107" s="12">
        <f t="shared" si="20"/>
        <v>-24757.589999999997</v>
      </c>
      <c r="J107" s="11">
        <f t="shared" si="21"/>
        <v>427.15478571428571</v>
      </c>
      <c r="K107" s="11">
        <f t="shared" si="22"/>
        <v>637.16509090909096</v>
      </c>
      <c r="L107" s="12">
        <f t="shared" si="23"/>
        <v>210.01030519480526</v>
      </c>
      <c r="M107" s="8">
        <v>11</v>
      </c>
      <c r="N107" s="13">
        <v>10</v>
      </c>
    </row>
    <row r="108" spans="1:14" ht="23.1" customHeight="1">
      <c r="A108" s="6" t="s">
        <v>15</v>
      </c>
      <c r="B108" s="7" t="s">
        <v>214</v>
      </c>
      <c r="C108" s="8">
        <v>340</v>
      </c>
      <c r="D108" s="8">
        <v>258</v>
      </c>
      <c r="E108" s="9">
        <f t="shared" si="18"/>
        <v>-82</v>
      </c>
      <c r="F108" s="10">
        <f t="shared" si="19"/>
        <v>-0.2411764705882353</v>
      </c>
      <c r="G108" s="11">
        <v>188477.08</v>
      </c>
      <c r="H108" s="11">
        <v>174970.97</v>
      </c>
      <c r="I108" s="12">
        <f t="shared" si="20"/>
        <v>-13506.109999999986</v>
      </c>
      <c r="J108" s="11">
        <f t="shared" si="21"/>
        <v>554.34435294117645</v>
      </c>
      <c r="K108" s="11">
        <f t="shared" si="22"/>
        <v>678.18205426356587</v>
      </c>
      <c r="L108" s="12">
        <f t="shared" si="23"/>
        <v>123.83770132238942</v>
      </c>
      <c r="M108" s="8">
        <v>13</v>
      </c>
      <c r="N108" s="13">
        <v>14</v>
      </c>
    </row>
    <row r="109" spans="1:14" ht="23.1" customHeight="1">
      <c r="A109" s="6" t="s">
        <v>15</v>
      </c>
      <c r="B109" s="7" t="s">
        <v>215</v>
      </c>
      <c r="C109" s="8">
        <v>249</v>
      </c>
      <c r="D109" s="8">
        <v>170</v>
      </c>
      <c r="E109" s="9">
        <f t="shared" si="18"/>
        <v>-79</v>
      </c>
      <c r="F109" s="10">
        <f t="shared" si="19"/>
        <v>-0.31726907630522089</v>
      </c>
      <c r="G109" s="11">
        <v>186500.68</v>
      </c>
      <c r="H109" s="11">
        <v>119467.37</v>
      </c>
      <c r="I109" s="12">
        <f t="shared" si="20"/>
        <v>-67033.31</v>
      </c>
      <c r="J109" s="11">
        <f t="shared" si="21"/>
        <v>748.99871485943777</v>
      </c>
      <c r="K109" s="11">
        <f t="shared" si="22"/>
        <v>702.74923529411763</v>
      </c>
      <c r="L109" s="12">
        <f t="shared" si="23"/>
        <v>-46.249479565320144</v>
      </c>
      <c r="M109" s="8">
        <v>12</v>
      </c>
      <c r="N109" s="13">
        <v>12</v>
      </c>
    </row>
    <row r="110" spans="1:14" ht="23.1" customHeight="1">
      <c r="A110" s="6" t="s">
        <v>15</v>
      </c>
      <c r="B110" s="7" t="s">
        <v>216</v>
      </c>
      <c r="C110" s="8">
        <v>18</v>
      </c>
      <c r="D110" s="8">
        <v>97</v>
      </c>
      <c r="E110" s="9">
        <f t="shared" si="18"/>
        <v>79</v>
      </c>
      <c r="F110" s="10">
        <f t="shared" si="19"/>
        <v>4.3888888888888893</v>
      </c>
      <c r="G110" s="11">
        <v>3556.26</v>
      </c>
      <c r="H110" s="11">
        <v>21582.19</v>
      </c>
      <c r="I110" s="12">
        <f t="shared" si="20"/>
        <v>18025.93</v>
      </c>
      <c r="J110" s="11">
        <f t="shared" si="21"/>
        <v>197.57000000000002</v>
      </c>
      <c r="K110" s="11">
        <f t="shared" si="22"/>
        <v>222.49680412371131</v>
      </c>
      <c r="L110" s="12">
        <f t="shared" si="23"/>
        <v>24.926804123711293</v>
      </c>
      <c r="M110" s="8">
        <v>2</v>
      </c>
      <c r="N110" s="13">
        <v>3</v>
      </c>
    </row>
    <row r="111" spans="1:14" ht="23.1" customHeight="1">
      <c r="A111" s="6" t="s">
        <v>15</v>
      </c>
      <c r="B111" s="7" t="s">
        <v>217</v>
      </c>
      <c r="C111" s="8">
        <v>177</v>
      </c>
      <c r="D111" s="8">
        <v>105</v>
      </c>
      <c r="E111" s="9">
        <f t="shared" si="18"/>
        <v>-72</v>
      </c>
      <c r="F111" s="10">
        <f t="shared" si="19"/>
        <v>-0.40677966101694918</v>
      </c>
      <c r="G111" s="11">
        <v>19588.59</v>
      </c>
      <c r="H111" s="11">
        <v>11620.35</v>
      </c>
      <c r="I111" s="12">
        <f t="shared" si="20"/>
        <v>-7968.24</v>
      </c>
      <c r="J111" s="11">
        <f t="shared" si="21"/>
        <v>110.67</v>
      </c>
      <c r="K111" s="11">
        <f t="shared" si="22"/>
        <v>110.67</v>
      </c>
      <c r="L111" s="12">
        <f t="shared" si="23"/>
        <v>0</v>
      </c>
      <c r="M111" s="8">
        <v>1</v>
      </c>
      <c r="N111" s="13">
        <v>1</v>
      </c>
    </row>
    <row r="112" spans="1:14" ht="23.1" customHeight="1">
      <c r="A112" s="6" t="s">
        <v>15</v>
      </c>
      <c r="B112" s="7" t="s">
        <v>218</v>
      </c>
      <c r="C112" s="8">
        <v>252</v>
      </c>
      <c r="D112" s="8">
        <v>181</v>
      </c>
      <c r="E112" s="9">
        <f t="shared" si="18"/>
        <v>-71</v>
      </c>
      <c r="F112" s="10">
        <f t="shared" si="19"/>
        <v>-0.28174603174603174</v>
      </c>
      <c r="G112" s="11">
        <v>52223.11</v>
      </c>
      <c r="H112" s="11">
        <v>36941.129999999997</v>
      </c>
      <c r="I112" s="12">
        <f t="shared" si="20"/>
        <v>-15281.980000000003</v>
      </c>
      <c r="J112" s="11">
        <f t="shared" si="21"/>
        <v>207.2345634920635</v>
      </c>
      <c r="K112" s="11">
        <f t="shared" si="22"/>
        <v>204.09464088397789</v>
      </c>
      <c r="L112" s="12">
        <f t="shared" si="23"/>
        <v>-3.1399226080856124</v>
      </c>
      <c r="M112" s="8">
        <v>5</v>
      </c>
      <c r="N112" s="13">
        <v>5</v>
      </c>
    </row>
    <row r="113" spans="1:14" ht="23.1" customHeight="1">
      <c r="A113" s="6" t="s">
        <v>15</v>
      </c>
      <c r="B113" s="7" t="s">
        <v>219</v>
      </c>
      <c r="C113" s="8">
        <v>254</v>
      </c>
      <c r="D113" s="8">
        <v>197</v>
      </c>
      <c r="E113" s="9">
        <f t="shared" si="18"/>
        <v>-57</v>
      </c>
      <c r="F113" s="10">
        <f t="shared" si="19"/>
        <v>-0.22440944881889763</v>
      </c>
      <c r="G113" s="11">
        <v>147505.37</v>
      </c>
      <c r="H113" s="11">
        <v>100057.94</v>
      </c>
      <c r="I113" s="12">
        <f t="shared" si="20"/>
        <v>-47447.429999999993</v>
      </c>
      <c r="J113" s="11">
        <f t="shared" si="21"/>
        <v>580.72980314960625</v>
      </c>
      <c r="K113" s="11">
        <f t="shared" si="22"/>
        <v>507.90832487309643</v>
      </c>
      <c r="L113" s="12">
        <f t="shared" si="23"/>
        <v>-72.821478276509822</v>
      </c>
      <c r="M113" s="8">
        <v>12</v>
      </c>
      <c r="N113" s="13">
        <v>13</v>
      </c>
    </row>
    <row r="114" spans="1:14" ht="23.1" customHeight="1">
      <c r="A114" s="6" t="s">
        <v>15</v>
      </c>
      <c r="B114" s="7" t="s">
        <v>220</v>
      </c>
      <c r="C114" s="8">
        <v>89</v>
      </c>
      <c r="D114" s="8">
        <v>141</v>
      </c>
      <c r="E114" s="9">
        <f t="shared" si="18"/>
        <v>52</v>
      </c>
      <c r="F114" s="10">
        <f t="shared" si="19"/>
        <v>0.5842696629213483</v>
      </c>
      <c r="G114" s="11">
        <v>82481.210000000006</v>
      </c>
      <c r="H114" s="11">
        <v>108092.1</v>
      </c>
      <c r="I114" s="12">
        <f t="shared" si="20"/>
        <v>25610.89</v>
      </c>
      <c r="J114" s="11">
        <f t="shared" si="21"/>
        <v>926.75516853932595</v>
      </c>
      <c r="K114" s="11">
        <f t="shared" si="22"/>
        <v>766.61063829787236</v>
      </c>
      <c r="L114" s="12">
        <f t="shared" si="23"/>
        <v>-160.14453024145359</v>
      </c>
      <c r="M114" s="8">
        <v>9</v>
      </c>
      <c r="N114" s="13">
        <v>13</v>
      </c>
    </row>
    <row r="115" spans="1:14" ht="23.1" customHeight="1">
      <c r="A115" s="6" t="s">
        <v>15</v>
      </c>
      <c r="B115" s="7" t="s">
        <v>127</v>
      </c>
      <c r="C115" s="8">
        <v>120</v>
      </c>
      <c r="D115" s="8">
        <v>69</v>
      </c>
      <c r="E115" s="9">
        <f t="shared" si="18"/>
        <v>-51</v>
      </c>
      <c r="F115" s="10">
        <f t="shared" si="19"/>
        <v>-0.42499999999999999</v>
      </c>
      <c r="G115" s="11">
        <v>16542.14</v>
      </c>
      <c r="H115" s="11">
        <v>10165.9</v>
      </c>
      <c r="I115" s="12">
        <f t="shared" si="20"/>
        <v>-6376.24</v>
      </c>
      <c r="J115" s="11">
        <f t="shared" si="21"/>
        <v>137.85116666666667</v>
      </c>
      <c r="K115" s="11">
        <f t="shared" si="22"/>
        <v>147.331884057971</v>
      </c>
      <c r="L115" s="12">
        <f t="shared" si="23"/>
        <v>9.4807173913043243</v>
      </c>
      <c r="M115" s="8">
        <v>3</v>
      </c>
      <c r="N115" s="13">
        <v>2</v>
      </c>
    </row>
    <row r="116" spans="1:14" ht="23.1" customHeight="1">
      <c r="A116" s="6" t="s">
        <v>15</v>
      </c>
      <c r="B116" s="7" t="s">
        <v>221</v>
      </c>
      <c r="C116" s="8">
        <v>257</v>
      </c>
      <c r="D116" s="8">
        <v>218</v>
      </c>
      <c r="E116" s="9">
        <f t="shared" si="18"/>
        <v>-39</v>
      </c>
      <c r="F116" s="10">
        <f t="shared" si="19"/>
        <v>-0.1517509727626459</v>
      </c>
      <c r="G116" s="11">
        <v>136944.19</v>
      </c>
      <c r="H116" s="11">
        <v>118210.62</v>
      </c>
      <c r="I116" s="12">
        <f t="shared" si="20"/>
        <v>-18733.570000000007</v>
      </c>
      <c r="J116" s="11">
        <f t="shared" si="21"/>
        <v>532.85677042801558</v>
      </c>
      <c r="K116" s="11">
        <f t="shared" si="22"/>
        <v>542.25055045871557</v>
      </c>
      <c r="L116" s="12">
        <f t="shared" si="23"/>
        <v>9.3937800306999861</v>
      </c>
      <c r="M116" s="8">
        <v>12</v>
      </c>
      <c r="N116" s="13">
        <v>12</v>
      </c>
    </row>
    <row r="117" spans="1:14" ht="23.1" customHeight="1">
      <c r="A117" s="6" t="s">
        <v>15</v>
      </c>
      <c r="B117" s="7" t="s">
        <v>222</v>
      </c>
      <c r="C117" s="8">
        <v>161</v>
      </c>
      <c r="D117" s="8">
        <v>122</v>
      </c>
      <c r="E117" s="9">
        <f t="shared" si="18"/>
        <v>-39</v>
      </c>
      <c r="F117" s="10">
        <f t="shared" si="19"/>
        <v>-0.24223602484472051</v>
      </c>
      <c r="G117" s="11">
        <v>36128.019999999997</v>
      </c>
      <c r="H117" s="11">
        <v>27795.3</v>
      </c>
      <c r="I117" s="12">
        <f t="shared" si="20"/>
        <v>-8332.7199999999975</v>
      </c>
      <c r="J117" s="11">
        <f t="shared" si="21"/>
        <v>224.39763975155279</v>
      </c>
      <c r="K117" s="11">
        <f t="shared" si="22"/>
        <v>227.83032786885246</v>
      </c>
      <c r="L117" s="12">
        <f t="shared" si="23"/>
        <v>3.4326881172996764</v>
      </c>
      <c r="M117" s="8">
        <v>5</v>
      </c>
      <c r="N117" s="13">
        <v>6</v>
      </c>
    </row>
    <row r="118" spans="1:14" ht="23.1" customHeight="1">
      <c r="A118" s="6" t="s">
        <v>15</v>
      </c>
      <c r="B118" s="7" t="s">
        <v>223</v>
      </c>
      <c r="C118" s="8">
        <v>194</v>
      </c>
      <c r="D118" s="8">
        <v>230</v>
      </c>
      <c r="E118" s="9">
        <f t="shared" si="18"/>
        <v>36</v>
      </c>
      <c r="F118" s="10">
        <f t="shared" si="19"/>
        <v>0.18556701030927836</v>
      </c>
      <c r="G118" s="11">
        <v>139188.14000000001</v>
      </c>
      <c r="H118" s="11">
        <v>143276.63</v>
      </c>
      <c r="I118" s="12">
        <f t="shared" si="20"/>
        <v>4088.4899999999907</v>
      </c>
      <c r="J118" s="11">
        <f t="shared" si="21"/>
        <v>717.46463917525784</v>
      </c>
      <c r="K118" s="11">
        <f t="shared" si="22"/>
        <v>622.94186956521742</v>
      </c>
      <c r="L118" s="12">
        <f t="shared" si="23"/>
        <v>-94.522769610040427</v>
      </c>
      <c r="M118" s="8">
        <v>14</v>
      </c>
      <c r="N118" s="13">
        <v>13</v>
      </c>
    </row>
    <row r="119" spans="1:14" ht="23.1" customHeight="1">
      <c r="A119" s="6" t="s">
        <v>15</v>
      </c>
      <c r="B119" s="7" t="s">
        <v>224</v>
      </c>
      <c r="C119" s="8">
        <v>102</v>
      </c>
      <c r="D119" s="8">
        <v>66</v>
      </c>
      <c r="E119" s="9">
        <f t="shared" si="18"/>
        <v>-36</v>
      </c>
      <c r="F119" s="10">
        <f t="shared" si="19"/>
        <v>-0.35294117647058826</v>
      </c>
      <c r="G119" s="11">
        <v>14384.84</v>
      </c>
      <c r="H119" s="11">
        <v>9806.35</v>
      </c>
      <c r="I119" s="12">
        <f t="shared" si="20"/>
        <v>-4578.49</v>
      </c>
      <c r="J119" s="11">
        <f t="shared" si="21"/>
        <v>141.02784313725491</v>
      </c>
      <c r="K119" s="11">
        <f t="shared" si="22"/>
        <v>148.58106060606062</v>
      </c>
      <c r="L119" s="12">
        <f t="shared" si="23"/>
        <v>7.5532174688057125</v>
      </c>
      <c r="M119" s="8">
        <v>3</v>
      </c>
      <c r="N119" s="13">
        <v>2</v>
      </c>
    </row>
    <row r="120" spans="1:14" ht="23.1" customHeight="1">
      <c r="A120" s="6" t="s">
        <v>15</v>
      </c>
      <c r="B120" s="7" t="s">
        <v>225</v>
      </c>
      <c r="C120" s="8">
        <v>193</v>
      </c>
      <c r="D120" s="8">
        <v>160</v>
      </c>
      <c r="E120" s="9">
        <f t="shared" si="18"/>
        <v>-33</v>
      </c>
      <c r="F120" s="10">
        <f t="shared" si="19"/>
        <v>-0.17098445595854922</v>
      </c>
      <c r="G120" s="11">
        <v>51243.5</v>
      </c>
      <c r="H120" s="11">
        <v>39383.58</v>
      </c>
      <c r="I120" s="12">
        <f t="shared" si="20"/>
        <v>-11859.919999999998</v>
      </c>
      <c r="J120" s="11">
        <f t="shared" si="21"/>
        <v>265.51036269430051</v>
      </c>
      <c r="K120" s="11">
        <f t="shared" si="22"/>
        <v>246.14737500000001</v>
      </c>
      <c r="L120" s="12">
        <f t="shared" si="23"/>
        <v>-19.3629876943005</v>
      </c>
      <c r="M120" s="8">
        <v>5</v>
      </c>
      <c r="N120" s="13">
        <v>6</v>
      </c>
    </row>
    <row r="121" spans="1:14" ht="23.1" customHeight="1">
      <c r="A121" s="6" t="s">
        <v>15</v>
      </c>
      <c r="B121" s="7" t="s">
        <v>226</v>
      </c>
      <c r="C121" s="8">
        <v>73</v>
      </c>
      <c r="D121" s="8">
        <v>44</v>
      </c>
      <c r="E121" s="9">
        <f t="shared" si="18"/>
        <v>-29</v>
      </c>
      <c r="F121" s="10">
        <f t="shared" si="19"/>
        <v>-0.39726027397260272</v>
      </c>
      <c r="G121" s="11">
        <v>8213.9599999999991</v>
      </c>
      <c r="H121" s="11">
        <v>4950.88</v>
      </c>
      <c r="I121" s="12">
        <f t="shared" si="20"/>
        <v>-3263.079999999999</v>
      </c>
      <c r="J121" s="11">
        <f t="shared" si="21"/>
        <v>112.51999999999998</v>
      </c>
      <c r="K121" s="11">
        <f t="shared" si="22"/>
        <v>112.52</v>
      </c>
      <c r="L121" s="12">
        <f t="shared" si="23"/>
        <v>1.4210854715202004E-14</v>
      </c>
      <c r="M121" s="8">
        <v>1</v>
      </c>
      <c r="N121" s="13">
        <v>1</v>
      </c>
    </row>
    <row r="122" spans="1:14" ht="23.1" customHeight="1">
      <c r="A122" s="6" t="s">
        <v>15</v>
      </c>
      <c r="B122" s="7" t="s">
        <v>227</v>
      </c>
      <c r="C122" s="8">
        <v>151</v>
      </c>
      <c r="D122" s="8">
        <v>178</v>
      </c>
      <c r="E122" s="9">
        <f t="shared" si="18"/>
        <v>27</v>
      </c>
      <c r="F122" s="10">
        <f t="shared" si="19"/>
        <v>0.17880794701986755</v>
      </c>
      <c r="G122" s="11">
        <v>86960.52</v>
      </c>
      <c r="H122" s="11">
        <v>109038.24</v>
      </c>
      <c r="I122" s="12">
        <f t="shared" si="20"/>
        <v>22077.72</v>
      </c>
      <c r="J122" s="11">
        <f t="shared" si="21"/>
        <v>575.89748344370867</v>
      </c>
      <c r="K122" s="11">
        <f t="shared" si="22"/>
        <v>612.57438202247192</v>
      </c>
      <c r="L122" s="12">
        <f t="shared" si="23"/>
        <v>36.676898578763257</v>
      </c>
      <c r="M122" s="8">
        <v>15</v>
      </c>
      <c r="N122" s="13">
        <v>16</v>
      </c>
    </row>
    <row r="123" spans="1:14" ht="23.1" customHeight="1">
      <c r="A123" s="6" t="s">
        <v>15</v>
      </c>
      <c r="B123" s="7" t="s">
        <v>228</v>
      </c>
      <c r="C123" s="8">
        <v>222</v>
      </c>
      <c r="D123" s="8">
        <v>198</v>
      </c>
      <c r="E123" s="9">
        <f t="shared" si="18"/>
        <v>-24</v>
      </c>
      <c r="F123" s="10">
        <f t="shared" si="19"/>
        <v>-0.10810810810810811</v>
      </c>
      <c r="G123" s="11">
        <v>140746.37</v>
      </c>
      <c r="H123" s="11">
        <v>120597.04</v>
      </c>
      <c r="I123" s="12">
        <f t="shared" si="20"/>
        <v>-20149.330000000002</v>
      </c>
      <c r="J123" s="11">
        <f t="shared" si="21"/>
        <v>633.99265765765767</v>
      </c>
      <c r="K123" s="11">
        <f t="shared" si="22"/>
        <v>609.0759595959596</v>
      </c>
      <c r="L123" s="12">
        <f t="shared" si="23"/>
        <v>-24.916698061698071</v>
      </c>
      <c r="M123" s="8">
        <v>12</v>
      </c>
      <c r="N123" s="13">
        <v>13</v>
      </c>
    </row>
    <row r="124" spans="1:14" ht="23.1" customHeight="1">
      <c r="A124" s="6" t="s">
        <v>15</v>
      </c>
      <c r="B124" s="7" t="s">
        <v>229</v>
      </c>
      <c r="C124" s="8">
        <v>101</v>
      </c>
      <c r="D124" s="8">
        <v>85</v>
      </c>
      <c r="E124" s="9">
        <f t="shared" si="18"/>
        <v>-16</v>
      </c>
      <c r="F124" s="10">
        <f t="shared" si="19"/>
        <v>-0.15841584158415842</v>
      </c>
      <c r="G124" s="11">
        <v>30775.88</v>
      </c>
      <c r="H124" s="11">
        <v>26436.92</v>
      </c>
      <c r="I124" s="12">
        <f t="shared" si="20"/>
        <v>-4338.9600000000028</v>
      </c>
      <c r="J124" s="11">
        <f t="shared" si="21"/>
        <v>304.71168316831682</v>
      </c>
      <c r="K124" s="11">
        <f t="shared" si="22"/>
        <v>311.02258823529411</v>
      </c>
      <c r="L124" s="12">
        <f t="shared" si="23"/>
        <v>6.3109050669772842</v>
      </c>
      <c r="M124" s="8">
        <v>4</v>
      </c>
      <c r="N124" s="13">
        <v>5</v>
      </c>
    </row>
    <row r="125" spans="1:14" ht="23.1" customHeight="1">
      <c r="A125" s="6" t="s">
        <v>15</v>
      </c>
      <c r="B125" s="7" t="s">
        <v>230</v>
      </c>
      <c r="C125" s="8">
        <v>33</v>
      </c>
      <c r="D125" s="8">
        <v>39</v>
      </c>
      <c r="E125" s="9">
        <f t="shared" si="18"/>
        <v>6</v>
      </c>
      <c r="F125" s="10">
        <f t="shared" si="19"/>
        <v>0.18181818181818182</v>
      </c>
      <c r="G125" s="11">
        <v>3713.16</v>
      </c>
      <c r="H125" s="11">
        <v>4388.28</v>
      </c>
      <c r="I125" s="12">
        <f t="shared" si="20"/>
        <v>675.11999999999989</v>
      </c>
      <c r="J125" s="11">
        <f t="shared" si="21"/>
        <v>112.52</v>
      </c>
      <c r="K125" s="11">
        <f t="shared" si="22"/>
        <v>112.52</v>
      </c>
      <c r="L125" s="12">
        <f t="shared" si="23"/>
        <v>0</v>
      </c>
      <c r="M125" s="8">
        <v>1</v>
      </c>
      <c r="N125" s="13">
        <v>1</v>
      </c>
    </row>
    <row r="126" spans="1:14" ht="23.1" customHeight="1">
      <c r="A126" s="6" t="s">
        <v>15</v>
      </c>
      <c r="B126" s="7" t="s">
        <v>231</v>
      </c>
      <c r="C126" s="8">
        <v>208</v>
      </c>
      <c r="D126" s="8">
        <v>203</v>
      </c>
      <c r="E126" s="9">
        <f t="shared" si="18"/>
        <v>-5</v>
      </c>
      <c r="F126" s="10">
        <f t="shared" si="19"/>
        <v>-2.403846153846154E-2</v>
      </c>
      <c r="G126" s="11">
        <v>139094.63</v>
      </c>
      <c r="H126" s="11">
        <v>114475.99</v>
      </c>
      <c r="I126" s="12">
        <f t="shared" si="20"/>
        <v>-24618.639999999999</v>
      </c>
      <c r="J126" s="11">
        <f t="shared" si="21"/>
        <v>668.72418269230775</v>
      </c>
      <c r="K126" s="11">
        <f t="shared" si="22"/>
        <v>563.92113300492611</v>
      </c>
      <c r="L126" s="12">
        <f t="shared" si="23"/>
        <v>-104.80304968738164</v>
      </c>
      <c r="M126" s="8">
        <v>12</v>
      </c>
      <c r="N126" s="13">
        <v>14</v>
      </c>
    </row>
    <row r="127" spans="1:14" ht="23.1" customHeight="1">
      <c r="A127" s="6" t="s">
        <v>15</v>
      </c>
      <c r="B127" s="7" t="s">
        <v>232</v>
      </c>
      <c r="C127" s="8">
        <v>44</v>
      </c>
      <c r="D127" s="8">
        <v>47</v>
      </c>
      <c r="E127" s="9">
        <f t="shared" si="18"/>
        <v>3</v>
      </c>
      <c r="F127" s="10">
        <f t="shared" si="19"/>
        <v>6.8181818181818177E-2</v>
      </c>
      <c r="G127" s="11">
        <v>7211.25</v>
      </c>
      <c r="H127" s="11">
        <v>7007.39</v>
      </c>
      <c r="I127" s="12">
        <f t="shared" si="20"/>
        <v>-203.85999999999967</v>
      </c>
      <c r="J127" s="11">
        <f t="shared" si="21"/>
        <v>163.89204545454547</v>
      </c>
      <c r="K127" s="11">
        <f t="shared" si="22"/>
        <v>149.09340425531914</v>
      </c>
      <c r="L127" s="12">
        <f t="shared" si="23"/>
        <v>-14.798641199226324</v>
      </c>
      <c r="M127" s="8">
        <v>5</v>
      </c>
      <c r="N127" s="13">
        <v>5</v>
      </c>
    </row>
    <row r="128" spans="1:14" ht="23.1" customHeight="1">
      <c r="A128" s="6" t="s">
        <v>15</v>
      </c>
      <c r="B128" s="7" t="s">
        <v>147</v>
      </c>
      <c r="C128" s="8">
        <v>1</v>
      </c>
      <c r="D128" s="8">
        <v>0</v>
      </c>
      <c r="E128" s="9">
        <f t="shared" si="18"/>
        <v>-1</v>
      </c>
      <c r="F128" s="10">
        <f t="shared" si="19"/>
        <v>-1</v>
      </c>
      <c r="G128" s="11">
        <v>520.80999999999995</v>
      </c>
      <c r="H128" s="11">
        <v>0</v>
      </c>
      <c r="I128" s="12">
        <f t="shared" si="20"/>
        <v>-520.80999999999995</v>
      </c>
      <c r="J128" s="11">
        <f t="shared" si="21"/>
        <v>520.80999999999995</v>
      </c>
      <c r="K128" s="11" t="str">
        <f t="shared" si="22"/>
        <v/>
      </c>
      <c r="L128" s="12" t="str">
        <f t="shared" si="23"/>
        <v/>
      </c>
      <c r="M128" s="8">
        <v>1</v>
      </c>
      <c r="N128" s="13">
        <v>0</v>
      </c>
    </row>
    <row r="129" spans="1:14" ht="23.1" customHeight="1">
      <c r="A129" s="6" t="s">
        <v>15</v>
      </c>
      <c r="B129" s="7" t="s">
        <v>233</v>
      </c>
      <c r="C129" s="8">
        <v>98</v>
      </c>
      <c r="D129" s="8">
        <v>97</v>
      </c>
      <c r="E129" s="9">
        <f t="shared" si="18"/>
        <v>-1</v>
      </c>
      <c r="F129" s="10">
        <f t="shared" si="19"/>
        <v>-1.020408163265306E-2</v>
      </c>
      <c r="G129" s="11">
        <v>80926.899999999994</v>
      </c>
      <c r="H129" s="11">
        <v>77823.06</v>
      </c>
      <c r="I129" s="12">
        <f t="shared" si="20"/>
        <v>-3103.8399999999965</v>
      </c>
      <c r="J129" s="11">
        <f t="shared" si="21"/>
        <v>825.78469387755092</v>
      </c>
      <c r="K129" s="11">
        <f t="shared" si="22"/>
        <v>802.29958762886599</v>
      </c>
      <c r="L129" s="12">
        <f t="shared" si="23"/>
        <v>-23.485106248684929</v>
      </c>
      <c r="M129" s="8">
        <v>11</v>
      </c>
      <c r="N129" s="13">
        <v>11</v>
      </c>
    </row>
    <row r="130" spans="1:14" ht="23.1" customHeight="1">
      <c r="A130" s="6" t="s">
        <v>15</v>
      </c>
      <c r="B130" s="7" t="s">
        <v>234</v>
      </c>
      <c r="C130" s="8">
        <v>0</v>
      </c>
      <c r="D130" s="8">
        <v>1</v>
      </c>
      <c r="E130" s="9">
        <f t="shared" si="18"/>
        <v>1</v>
      </c>
      <c r="F130" s="10" t="str">
        <f t="shared" si="19"/>
        <v/>
      </c>
      <c r="G130" s="11">
        <v>0</v>
      </c>
      <c r="H130" s="11">
        <v>439.29</v>
      </c>
      <c r="I130" s="12">
        <f t="shared" si="20"/>
        <v>439.29</v>
      </c>
      <c r="J130" s="11" t="str">
        <f t="shared" si="21"/>
        <v/>
      </c>
      <c r="K130" s="11">
        <f t="shared" si="22"/>
        <v>439.29</v>
      </c>
      <c r="L130" s="12" t="str">
        <f t="shared" si="23"/>
        <v/>
      </c>
      <c r="M130" s="8">
        <v>0</v>
      </c>
      <c r="N130" s="13">
        <v>1</v>
      </c>
    </row>
    <row r="131" spans="1:14" ht="23.1" customHeight="1">
      <c r="A131" s="6" t="s">
        <v>16</v>
      </c>
      <c r="B131" s="7" t="s">
        <v>235</v>
      </c>
      <c r="C131" s="8">
        <v>267</v>
      </c>
      <c r="D131" s="8">
        <v>593</v>
      </c>
      <c r="E131" s="9">
        <f t="shared" si="18"/>
        <v>326</v>
      </c>
      <c r="F131" s="10">
        <f t="shared" si="19"/>
        <v>1.2209737827715357</v>
      </c>
      <c r="G131" s="11">
        <v>67166.61</v>
      </c>
      <c r="H131" s="11">
        <v>163475.51</v>
      </c>
      <c r="I131" s="12">
        <f t="shared" si="20"/>
        <v>96308.900000000009</v>
      </c>
      <c r="J131" s="11">
        <f t="shared" si="21"/>
        <v>251.56033707865168</v>
      </c>
      <c r="K131" s="11">
        <f t="shared" si="22"/>
        <v>275.67539629005063</v>
      </c>
      <c r="L131" s="12">
        <f t="shared" si="23"/>
        <v>24.115059211398943</v>
      </c>
      <c r="M131" s="8">
        <v>6</v>
      </c>
      <c r="N131" s="13">
        <v>7</v>
      </c>
    </row>
    <row r="132" spans="1:14" ht="23.1" customHeight="1">
      <c r="A132" s="6" t="s">
        <v>16</v>
      </c>
      <c r="B132" s="7" t="s">
        <v>236</v>
      </c>
      <c r="C132" s="8">
        <v>224</v>
      </c>
      <c r="D132" s="8">
        <v>0</v>
      </c>
      <c r="E132" s="9">
        <f t="shared" si="18"/>
        <v>-224</v>
      </c>
      <c r="F132" s="10">
        <f t="shared" si="19"/>
        <v>-1</v>
      </c>
      <c r="G132" s="11">
        <v>121566.59</v>
      </c>
      <c r="H132" s="11">
        <v>0</v>
      </c>
      <c r="I132" s="12">
        <f t="shared" si="20"/>
        <v>-121566.59</v>
      </c>
      <c r="J132" s="11">
        <f t="shared" si="21"/>
        <v>542.70799107142852</v>
      </c>
      <c r="K132" s="11" t="str">
        <f t="shared" si="22"/>
        <v/>
      </c>
      <c r="L132" s="12" t="str">
        <f t="shared" si="23"/>
        <v/>
      </c>
      <c r="M132" s="8">
        <v>17</v>
      </c>
      <c r="N132" s="13">
        <v>0</v>
      </c>
    </row>
    <row r="133" spans="1:14" ht="23.1" customHeight="1">
      <c r="A133" s="6" t="s">
        <v>16</v>
      </c>
      <c r="B133" s="7" t="s">
        <v>237</v>
      </c>
      <c r="C133" s="8">
        <v>124</v>
      </c>
      <c r="D133" s="8">
        <v>329</v>
      </c>
      <c r="E133" s="9">
        <f t="shared" ref="E133:E164" si="24">D133-C133</f>
        <v>205</v>
      </c>
      <c r="F133" s="10">
        <f t="shared" ref="F133:F164" si="25">IF(C133=0,"",E133/C133)</f>
        <v>1.653225806451613</v>
      </c>
      <c r="G133" s="11">
        <v>47791.41</v>
      </c>
      <c r="H133" s="11">
        <v>130824.42</v>
      </c>
      <c r="I133" s="12">
        <f t="shared" ref="I133:I164" si="26">H133-G133</f>
        <v>83033.009999999995</v>
      </c>
      <c r="J133" s="11">
        <f t="shared" ref="J133:J164" si="27">IF(C133=0,"",G133/C133)</f>
        <v>385.41459677419357</v>
      </c>
      <c r="K133" s="11">
        <f t="shared" ref="K133:K164" si="28">IF(D133=0,"",H133/D133)</f>
        <v>397.64261398176291</v>
      </c>
      <c r="L133" s="12">
        <f t="shared" ref="L133:L164" si="29">IF(OR(J133="",K133=""),"",K133-J133)</f>
        <v>12.228017207569337</v>
      </c>
      <c r="M133" s="8">
        <v>7</v>
      </c>
      <c r="N133" s="13">
        <v>7</v>
      </c>
    </row>
    <row r="134" spans="1:14" ht="23.1" customHeight="1">
      <c r="A134" s="6" t="s">
        <v>16</v>
      </c>
      <c r="B134" s="7" t="s">
        <v>238</v>
      </c>
      <c r="C134" s="8">
        <v>173</v>
      </c>
      <c r="D134" s="8">
        <v>0</v>
      </c>
      <c r="E134" s="9">
        <f t="shared" si="24"/>
        <v>-173</v>
      </c>
      <c r="F134" s="10">
        <f t="shared" si="25"/>
        <v>-1</v>
      </c>
      <c r="G134" s="11">
        <v>10608.36</v>
      </c>
      <c r="H134" s="11">
        <v>0</v>
      </c>
      <c r="I134" s="12">
        <f t="shared" si="26"/>
        <v>-10608.36</v>
      </c>
      <c r="J134" s="11">
        <f t="shared" si="27"/>
        <v>61.32</v>
      </c>
      <c r="K134" s="11" t="str">
        <f t="shared" si="28"/>
        <v/>
      </c>
      <c r="L134" s="12" t="str">
        <f t="shared" si="29"/>
        <v/>
      </c>
      <c r="M134" s="8">
        <v>1</v>
      </c>
      <c r="N134" s="13">
        <v>0</v>
      </c>
    </row>
    <row r="135" spans="1:14" ht="23.1" customHeight="1">
      <c r="A135" s="6" t="s">
        <v>16</v>
      </c>
      <c r="B135" s="7" t="s">
        <v>239</v>
      </c>
      <c r="C135" s="8">
        <v>0</v>
      </c>
      <c r="D135" s="8">
        <v>168</v>
      </c>
      <c r="E135" s="9">
        <f t="shared" si="24"/>
        <v>168</v>
      </c>
      <c r="F135" s="10" t="str">
        <f t="shared" si="25"/>
        <v/>
      </c>
      <c r="G135" s="11">
        <v>0</v>
      </c>
      <c r="H135" s="11">
        <v>115670</v>
      </c>
      <c r="I135" s="12">
        <f t="shared" si="26"/>
        <v>115670</v>
      </c>
      <c r="J135" s="11" t="str">
        <f t="shared" si="27"/>
        <v/>
      </c>
      <c r="K135" s="11">
        <f t="shared" si="28"/>
        <v>688.51190476190482</v>
      </c>
      <c r="L135" s="12" t="str">
        <f t="shared" si="29"/>
        <v/>
      </c>
      <c r="M135" s="8">
        <v>0</v>
      </c>
      <c r="N135" s="13">
        <v>10</v>
      </c>
    </row>
    <row r="136" spans="1:14" ht="23.1" customHeight="1">
      <c r="A136" s="6" t="s">
        <v>16</v>
      </c>
      <c r="B136" s="7" t="s">
        <v>240</v>
      </c>
      <c r="C136" s="8">
        <v>31</v>
      </c>
      <c r="D136" s="8">
        <v>189</v>
      </c>
      <c r="E136" s="9">
        <f t="shared" si="24"/>
        <v>158</v>
      </c>
      <c r="F136" s="10">
        <f t="shared" si="25"/>
        <v>5.096774193548387</v>
      </c>
      <c r="G136" s="11">
        <v>8970.2999999999993</v>
      </c>
      <c r="H136" s="11">
        <v>42952.9</v>
      </c>
      <c r="I136" s="12">
        <f t="shared" si="26"/>
        <v>33982.600000000006</v>
      </c>
      <c r="J136" s="11">
        <f t="shared" si="27"/>
        <v>289.36451612903221</v>
      </c>
      <c r="K136" s="11">
        <f t="shared" si="28"/>
        <v>227.26402116402116</v>
      </c>
      <c r="L136" s="12">
        <f t="shared" si="29"/>
        <v>-62.100494965011052</v>
      </c>
      <c r="M136" s="8">
        <v>6</v>
      </c>
      <c r="N136" s="13">
        <v>6</v>
      </c>
    </row>
    <row r="137" spans="1:14" ht="23.1" customHeight="1">
      <c r="A137" s="6" t="s">
        <v>16</v>
      </c>
      <c r="B137" s="7" t="s">
        <v>241</v>
      </c>
      <c r="C137" s="8">
        <v>154</v>
      </c>
      <c r="D137" s="8">
        <v>0</v>
      </c>
      <c r="E137" s="9">
        <f t="shared" si="24"/>
        <v>-154</v>
      </c>
      <c r="F137" s="10">
        <f t="shared" si="25"/>
        <v>-1</v>
      </c>
      <c r="G137" s="11">
        <v>117419.91</v>
      </c>
      <c r="H137" s="11">
        <v>0</v>
      </c>
      <c r="I137" s="12">
        <f t="shared" si="26"/>
        <v>-117419.91</v>
      </c>
      <c r="J137" s="11">
        <f t="shared" si="27"/>
        <v>762.46694805194807</v>
      </c>
      <c r="K137" s="11" t="str">
        <f t="shared" si="28"/>
        <v/>
      </c>
      <c r="L137" s="12" t="str">
        <f t="shared" si="29"/>
        <v/>
      </c>
      <c r="M137" s="8">
        <v>14</v>
      </c>
      <c r="N137" s="13">
        <v>0</v>
      </c>
    </row>
    <row r="138" spans="1:14" ht="23.1" customHeight="1">
      <c r="A138" s="6" t="s">
        <v>16</v>
      </c>
      <c r="B138" s="7" t="s">
        <v>242</v>
      </c>
      <c r="C138" s="8">
        <v>153</v>
      </c>
      <c r="D138" s="8">
        <v>0</v>
      </c>
      <c r="E138" s="9">
        <f t="shared" si="24"/>
        <v>-153</v>
      </c>
      <c r="F138" s="10">
        <f t="shared" si="25"/>
        <v>-1</v>
      </c>
      <c r="G138" s="11">
        <v>149067.38</v>
      </c>
      <c r="H138" s="11">
        <v>0</v>
      </c>
      <c r="I138" s="12">
        <f t="shared" si="26"/>
        <v>-149067.38</v>
      </c>
      <c r="J138" s="11">
        <f t="shared" si="27"/>
        <v>974.29660130718958</v>
      </c>
      <c r="K138" s="11" t="str">
        <f t="shared" si="28"/>
        <v/>
      </c>
      <c r="L138" s="12" t="str">
        <f t="shared" si="29"/>
        <v/>
      </c>
      <c r="M138" s="8">
        <v>14</v>
      </c>
      <c r="N138" s="13">
        <v>0</v>
      </c>
    </row>
    <row r="139" spans="1:14" ht="23.1" customHeight="1">
      <c r="A139" s="6" t="s">
        <v>16</v>
      </c>
      <c r="B139" s="7" t="s">
        <v>243</v>
      </c>
      <c r="C139" s="8">
        <v>54</v>
      </c>
      <c r="D139" s="8">
        <v>204</v>
      </c>
      <c r="E139" s="9">
        <f t="shared" si="24"/>
        <v>150</v>
      </c>
      <c r="F139" s="10">
        <f t="shared" si="25"/>
        <v>2.7777777777777777</v>
      </c>
      <c r="G139" s="11">
        <v>27381.96</v>
      </c>
      <c r="H139" s="11">
        <v>111183.67</v>
      </c>
      <c r="I139" s="12">
        <f t="shared" si="26"/>
        <v>83801.709999999992</v>
      </c>
      <c r="J139" s="11">
        <f t="shared" si="27"/>
        <v>507.07333333333332</v>
      </c>
      <c r="K139" s="11">
        <f t="shared" si="28"/>
        <v>545.01799019607847</v>
      </c>
      <c r="L139" s="12">
        <f t="shared" si="29"/>
        <v>37.944656862745148</v>
      </c>
      <c r="M139" s="8">
        <v>12</v>
      </c>
      <c r="N139" s="13">
        <v>13</v>
      </c>
    </row>
    <row r="140" spans="1:14" ht="23.1" customHeight="1">
      <c r="A140" s="6" t="s">
        <v>16</v>
      </c>
      <c r="B140" s="7" t="s">
        <v>244</v>
      </c>
      <c r="C140" s="8">
        <v>34</v>
      </c>
      <c r="D140" s="8">
        <v>171</v>
      </c>
      <c r="E140" s="9">
        <f t="shared" si="24"/>
        <v>137</v>
      </c>
      <c r="F140" s="10">
        <f t="shared" si="25"/>
        <v>4.0294117647058822</v>
      </c>
      <c r="G140" s="11">
        <v>17640.93</v>
      </c>
      <c r="H140" s="11">
        <v>146445.81</v>
      </c>
      <c r="I140" s="12">
        <f t="shared" si="26"/>
        <v>128804.88</v>
      </c>
      <c r="J140" s="11">
        <f t="shared" si="27"/>
        <v>518.8508823529412</v>
      </c>
      <c r="K140" s="11">
        <f t="shared" si="28"/>
        <v>856.40824561403508</v>
      </c>
      <c r="L140" s="12">
        <f t="shared" si="29"/>
        <v>337.55736326109388</v>
      </c>
      <c r="M140" s="8">
        <v>9</v>
      </c>
      <c r="N140" s="13">
        <v>11</v>
      </c>
    </row>
    <row r="141" spans="1:14" ht="23.1" customHeight="1">
      <c r="A141" s="6" t="s">
        <v>16</v>
      </c>
      <c r="B141" s="7" t="s">
        <v>245</v>
      </c>
      <c r="C141" s="8">
        <v>133</v>
      </c>
      <c r="D141" s="8">
        <v>0</v>
      </c>
      <c r="E141" s="9">
        <f t="shared" si="24"/>
        <v>-133</v>
      </c>
      <c r="F141" s="10">
        <f t="shared" si="25"/>
        <v>-1</v>
      </c>
      <c r="G141" s="11">
        <v>79513.48</v>
      </c>
      <c r="H141" s="11">
        <v>0</v>
      </c>
      <c r="I141" s="12">
        <f t="shared" si="26"/>
        <v>-79513.48</v>
      </c>
      <c r="J141" s="11">
        <f t="shared" si="27"/>
        <v>597.84571428571428</v>
      </c>
      <c r="K141" s="11" t="str">
        <f t="shared" si="28"/>
        <v/>
      </c>
      <c r="L141" s="12" t="str">
        <f t="shared" si="29"/>
        <v/>
      </c>
      <c r="M141" s="8">
        <v>10</v>
      </c>
      <c r="N141" s="13">
        <v>0</v>
      </c>
    </row>
    <row r="142" spans="1:14" ht="23.1" customHeight="1">
      <c r="A142" s="6" t="s">
        <v>16</v>
      </c>
      <c r="B142" s="7" t="s">
        <v>246</v>
      </c>
      <c r="C142" s="8">
        <v>127</v>
      </c>
      <c r="D142" s="8">
        <v>4</v>
      </c>
      <c r="E142" s="9">
        <f t="shared" si="24"/>
        <v>-123</v>
      </c>
      <c r="F142" s="10">
        <f t="shared" si="25"/>
        <v>-0.96850393700787396</v>
      </c>
      <c r="G142" s="11">
        <v>67153.33</v>
      </c>
      <c r="H142" s="11">
        <v>1764.38</v>
      </c>
      <c r="I142" s="12">
        <f t="shared" si="26"/>
        <v>-65388.950000000004</v>
      </c>
      <c r="J142" s="11">
        <f t="shared" si="27"/>
        <v>528.76637795275587</v>
      </c>
      <c r="K142" s="11">
        <f t="shared" si="28"/>
        <v>441.09500000000003</v>
      </c>
      <c r="L142" s="12">
        <f t="shared" si="29"/>
        <v>-87.671377952755847</v>
      </c>
      <c r="M142" s="8">
        <v>10</v>
      </c>
      <c r="N142" s="13">
        <v>4</v>
      </c>
    </row>
    <row r="143" spans="1:14" ht="23.1" customHeight="1">
      <c r="A143" s="6" t="s">
        <v>16</v>
      </c>
      <c r="B143" s="7" t="s">
        <v>247</v>
      </c>
      <c r="C143" s="8">
        <v>36</v>
      </c>
      <c r="D143" s="8">
        <v>151</v>
      </c>
      <c r="E143" s="9">
        <f t="shared" si="24"/>
        <v>115</v>
      </c>
      <c r="F143" s="10">
        <f t="shared" si="25"/>
        <v>3.1944444444444446</v>
      </c>
      <c r="G143" s="11">
        <v>18705.53</v>
      </c>
      <c r="H143" s="11">
        <v>82299.89</v>
      </c>
      <c r="I143" s="12">
        <f t="shared" si="26"/>
        <v>63594.36</v>
      </c>
      <c r="J143" s="11">
        <f t="shared" si="27"/>
        <v>519.59805555555556</v>
      </c>
      <c r="K143" s="11">
        <f t="shared" si="28"/>
        <v>545.0323841059602</v>
      </c>
      <c r="L143" s="12">
        <f t="shared" si="29"/>
        <v>25.434328550404643</v>
      </c>
      <c r="M143" s="8">
        <v>9</v>
      </c>
      <c r="N143" s="13">
        <v>10</v>
      </c>
    </row>
    <row r="144" spans="1:14" ht="23.1" customHeight="1">
      <c r="A144" s="6" t="s">
        <v>16</v>
      </c>
      <c r="B144" s="7" t="s">
        <v>248</v>
      </c>
      <c r="C144" s="8">
        <v>114</v>
      </c>
      <c r="D144" s="8">
        <v>0</v>
      </c>
      <c r="E144" s="9">
        <f t="shared" si="24"/>
        <v>-114</v>
      </c>
      <c r="F144" s="10">
        <f t="shared" si="25"/>
        <v>-1</v>
      </c>
      <c r="G144" s="11">
        <v>89727.09</v>
      </c>
      <c r="H144" s="11">
        <v>0</v>
      </c>
      <c r="I144" s="12">
        <f t="shared" si="26"/>
        <v>-89727.09</v>
      </c>
      <c r="J144" s="11">
        <f t="shared" si="27"/>
        <v>787.07973684210526</v>
      </c>
      <c r="K144" s="11" t="str">
        <f t="shared" si="28"/>
        <v/>
      </c>
      <c r="L144" s="12" t="str">
        <f t="shared" si="29"/>
        <v/>
      </c>
      <c r="M144" s="8">
        <v>11</v>
      </c>
      <c r="N144" s="13">
        <v>0</v>
      </c>
    </row>
    <row r="145" spans="1:14" ht="23.1" customHeight="1">
      <c r="A145" s="6" t="s">
        <v>16</v>
      </c>
      <c r="B145" s="7" t="s">
        <v>249</v>
      </c>
      <c r="C145" s="8">
        <v>0</v>
      </c>
      <c r="D145" s="8">
        <v>113</v>
      </c>
      <c r="E145" s="9">
        <f t="shared" si="24"/>
        <v>113</v>
      </c>
      <c r="F145" s="10" t="str">
        <f t="shared" si="25"/>
        <v/>
      </c>
      <c r="G145" s="11">
        <v>0</v>
      </c>
      <c r="H145" s="11">
        <v>6929.16</v>
      </c>
      <c r="I145" s="12">
        <f t="shared" si="26"/>
        <v>6929.16</v>
      </c>
      <c r="J145" s="11" t="str">
        <f t="shared" si="27"/>
        <v/>
      </c>
      <c r="K145" s="11">
        <f t="shared" si="28"/>
        <v>61.32</v>
      </c>
      <c r="L145" s="12" t="str">
        <f t="shared" si="29"/>
        <v/>
      </c>
      <c r="M145" s="8">
        <v>0</v>
      </c>
      <c r="N145" s="13">
        <v>1</v>
      </c>
    </row>
    <row r="146" spans="1:14" ht="23.1" customHeight="1">
      <c r="A146" s="6" t="s">
        <v>16</v>
      </c>
      <c r="B146" s="7" t="s">
        <v>250</v>
      </c>
      <c r="C146" s="8">
        <v>58</v>
      </c>
      <c r="D146" s="8">
        <v>169</v>
      </c>
      <c r="E146" s="9">
        <f t="shared" si="24"/>
        <v>111</v>
      </c>
      <c r="F146" s="10">
        <f t="shared" si="25"/>
        <v>1.9137931034482758</v>
      </c>
      <c r="G146" s="11">
        <v>3556.56</v>
      </c>
      <c r="H146" s="11">
        <v>10363.08</v>
      </c>
      <c r="I146" s="12">
        <f t="shared" si="26"/>
        <v>6806.52</v>
      </c>
      <c r="J146" s="11">
        <f t="shared" si="27"/>
        <v>61.32</v>
      </c>
      <c r="K146" s="11">
        <f t="shared" si="28"/>
        <v>61.32</v>
      </c>
      <c r="L146" s="12">
        <f t="shared" si="29"/>
        <v>0</v>
      </c>
      <c r="M146" s="8">
        <v>1</v>
      </c>
      <c r="N146" s="13">
        <v>1</v>
      </c>
    </row>
    <row r="147" spans="1:14" ht="23.1" customHeight="1">
      <c r="A147" s="6" t="s">
        <v>16</v>
      </c>
      <c r="B147" s="7" t="s">
        <v>251</v>
      </c>
      <c r="C147" s="8">
        <v>91</v>
      </c>
      <c r="D147" s="8">
        <v>0</v>
      </c>
      <c r="E147" s="9">
        <f t="shared" si="24"/>
        <v>-91</v>
      </c>
      <c r="F147" s="10">
        <f t="shared" si="25"/>
        <v>-1</v>
      </c>
      <c r="G147" s="11">
        <v>66975.66</v>
      </c>
      <c r="H147" s="11">
        <v>0</v>
      </c>
      <c r="I147" s="12">
        <f t="shared" si="26"/>
        <v>-66975.66</v>
      </c>
      <c r="J147" s="11">
        <f t="shared" si="27"/>
        <v>735.99626373626381</v>
      </c>
      <c r="K147" s="11" t="str">
        <f t="shared" si="28"/>
        <v/>
      </c>
      <c r="L147" s="12" t="str">
        <f t="shared" si="29"/>
        <v/>
      </c>
      <c r="M147" s="8">
        <v>11</v>
      </c>
      <c r="N147" s="13">
        <v>0</v>
      </c>
    </row>
    <row r="148" spans="1:14" ht="23.1" customHeight="1">
      <c r="A148" s="6" t="s">
        <v>16</v>
      </c>
      <c r="B148" s="7" t="s">
        <v>252</v>
      </c>
      <c r="C148" s="8">
        <v>42</v>
      </c>
      <c r="D148" s="8">
        <v>128</v>
      </c>
      <c r="E148" s="9">
        <f t="shared" si="24"/>
        <v>86</v>
      </c>
      <c r="F148" s="10">
        <f t="shared" si="25"/>
        <v>2.0476190476190474</v>
      </c>
      <c r="G148" s="11">
        <v>10150.4</v>
      </c>
      <c r="H148" s="11">
        <v>33534.43</v>
      </c>
      <c r="I148" s="12">
        <f t="shared" si="26"/>
        <v>23384.03</v>
      </c>
      <c r="J148" s="11">
        <f t="shared" si="27"/>
        <v>241.67619047619047</v>
      </c>
      <c r="K148" s="11">
        <f t="shared" si="28"/>
        <v>261.987734375</v>
      </c>
      <c r="L148" s="12">
        <f t="shared" si="29"/>
        <v>20.311543898809532</v>
      </c>
      <c r="M148" s="8">
        <v>5</v>
      </c>
      <c r="N148" s="13">
        <v>6</v>
      </c>
    </row>
    <row r="149" spans="1:14" ht="23.1" customHeight="1">
      <c r="A149" s="6" t="s">
        <v>16</v>
      </c>
      <c r="B149" s="7" t="s">
        <v>253</v>
      </c>
      <c r="C149" s="8">
        <v>76</v>
      </c>
      <c r="D149" s="8">
        <v>0</v>
      </c>
      <c r="E149" s="9">
        <f t="shared" si="24"/>
        <v>-76</v>
      </c>
      <c r="F149" s="10">
        <f t="shared" si="25"/>
        <v>-1</v>
      </c>
      <c r="G149" s="11">
        <v>81649.91</v>
      </c>
      <c r="H149" s="11">
        <v>0</v>
      </c>
      <c r="I149" s="12">
        <f t="shared" si="26"/>
        <v>-81649.91</v>
      </c>
      <c r="J149" s="11">
        <f t="shared" si="27"/>
        <v>1074.3409210526315</v>
      </c>
      <c r="K149" s="11" t="str">
        <f t="shared" si="28"/>
        <v/>
      </c>
      <c r="L149" s="12" t="str">
        <f t="shared" si="29"/>
        <v/>
      </c>
      <c r="M149" s="8">
        <v>12</v>
      </c>
      <c r="N149" s="13">
        <v>0</v>
      </c>
    </row>
    <row r="150" spans="1:14" ht="23.1" customHeight="1">
      <c r="A150" s="6" t="s">
        <v>16</v>
      </c>
      <c r="B150" s="7" t="s">
        <v>254</v>
      </c>
      <c r="C150" s="8">
        <v>70</v>
      </c>
      <c r="D150" s="8">
        <v>0</v>
      </c>
      <c r="E150" s="9">
        <f t="shared" si="24"/>
        <v>-70</v>
      </c>
      <c r="F150" s="10">
        <f t="shared" si="25"/>
        <v>-1</v>
      </c>
      <c r="G150" s="11">
        <v>22494.28</v>
      </c>
      <c r="H150" s="11">
        <v>0</v>
      </c>
      <c r="I150" s="12">
        <f t="shared" si="26"/>
        <v>-22494.28</v>
      </c>
      <c r="J150" s="11">
        <f t="shared" si="27"/>
        <v>321.34685714285712</v>
      </c>
      <c r="K150" s="11" t="str">
        <f t="shared" si="28"/>
        <v/>
      </c>
      <c r="L150" s="12" t="str">
        <f t="shared" si="29"/>
        <v/>
      </c>
      <c r="M150" s="8">
        <v>4</v>
      </c>
      <c r="N150" s="13">
        <v>0</v>
      </c>
    </row>
    <row r="151" spans="1:14" ht="23.1" customHeight="1">
      <c r="A151" s="6" t="s">
        <v>16</v>
      </c>
      <c r="B151" s="7" t="s">
        <v>141</v>
      </c>
      <c r="C151" s="8">
        <v>126</v>
      </c>
      <c r="D151" s="8">
        <v>57</v>
      </c>
      <c r="E151" s="9">
        <f t="shared" si="24"/>
        <v>-69</v>
      </c>
      <c r="F151" s="10">
        <f t="shared" si="25"/>
        <v>-0.54761904761904767</v>
      </c>
      <c r="G151" s="11">
        <v>93635.74</v>
      </c>
      <c r="H151" s="11">
        <v>36401.94</v>
      </c>
      <c r="I151" s="12">
        <f t="shared" si="26"/>
        <v>-57233.8</v>
      </c>
      <c r="J151" s="11">
        <f t="shared" si="27"/>
        <v>743.14079365079374</v>
      </c>
      <c r="K151" s="11">
        <f t="shared" si="28"/>
        <v>638.63052631578955</v>
      </c>
      <c r="L151" s="12">
        <f t="shared" si="29"/>
        <v>-104.51026733500419</v>
      </c>
      <c r="M151" s="8">
        <v>11</v>
      </c>
      <c r="N151" s="13">
        <v>10</v>
      </c>
    </row>
    <row r="152" spans="1:14" ht="23.1" customHeight="1">
      <c r="A152" s="6" t="s">
        <v>16</v>
      </c>
      <c r="B152" s="7" t="s">
        <v>255</v>
      </c>
      <c r="C152" s="8">
        <v>119</v>
      </c>
      <c r="D152" s="8">
        <v>187</v>
      </c>
      <c r="E152" s="9">
        <f t="shared" si="24"/>
        <v>68</v>
      </c>
      <c r="F152" s="10">
        <f t="shared" si="25"/>
        <v>0.5714285714285714</v>
      </c>
      <c r="G152" s="11">
        <v>63629.58</v>
      </c>
      <c r="H152" s="11">
        <v>87653.33</v>
      </c>
      <c r="I152" s="12">
        <f t="shared" si="26"/>
        <v>24023.75</v>
      </c>
      <c r="J152" s="11">
        <f t="shared" si="27"/>
        <v>534.70235294117651</v>
      </c>
      <c r="K152" s="11">
        <f t="shared" si="28"/>
        <v>468.73438502673798</v>
      </c>
      <c r="L152" s="12">
        <f t="shared" si="29"/>
        <v>-65.967967914438532</v>
      </c>
      <c r="M152" s="8">
        <v>10</v>
      </c>
      <c r="N152" s="13">
        <v>11</v>
      </c>
    </row>
    <row r="153" spans="1:14" ht="23.1" customHeight="1">
      <c r="A153" s="6" t="s">
        <v>16</v>
      </c>
      <c r="B153" s="7" t="s">
        <v>256</v>
      </c>
      <c r="C153" s="8">
        <v>66</v>
      </c>
      <c r="D153" s="8">
        <v>133</v>
      </c>
      <c r="E153" s="9">
        <f t="shared" si="24"/>
        <v>67</v>
      </c>
      <c r="F153" s="10">
        <f t="shared" si="25"/>
        <v>1.0151515151515151</v>
      </c>
      <c r="G153" s="11">
        <v>55788.05</v>
      </c>
      <c r="H153" s="11">
        <v>99385.01</v>
      </c>
      <c r="I153" s="12">
        <f t="shared" si="26"/>
        <v>43596.959999999992</v>
      </c>
      <c r="J153" s="11">
        <f t="shared" si="27"/>
        <v>845.27348484848494</v>
      </c>
      <c r="K153" s="11">
        <f t="shared" si="28"/>
        <v>747.25571428571425</v>
      </c>
      <c r="L153" s="12">
        <f t="shared" si="29"/>
        <v>-98.017770562770693</v>
      </c>
      <c r="M153" s="8">
        <v>12</v>
      </c>
      <c r="N153" s="13">
        <v>11</v>
      </c>
    </row>
    <row r="154" spans="1:14" ht="23.1" customHeight="1">
      <c r="A154" s="6" t="s">
        <v>16</v>
      </c>
      <c r="B154" s="7" t="s">
        <v>257</v>
      </c>
      <c r="C154" s="8">
        <v>86</v>
      </c>
      <c r="D154" s="8">
        <v>153</v>
      </c>
      <c r="E154" s="9">
        <f t="shared" si="24"/>
        <v>67</v>
      </c>
      <c r="F154" s="10">
        <f t="shared" si="25"/>
        <v>0.77906976744186052</v>
      </c>
      <c r="G154" s="11">
        <v>50129.25</v>
      </c>
      <c r="H154" s="11">
        <v>87680.53</v>
      </c>
      <c r="I154" s="12">
        <f t="shared" si="26"/>
        <v>37551.279999999999</v>
      </c>
      <c r="J154" s="11">
        <f t="shared" si="27"/>
        <v>582.89825581395348</v>
      </c>
      <c r="K154" s="11">
        <f t="shared" si="28"/>
        <v>573.07535947712415</v>
      </c>
      <c r="L154" s="12">
        <f t="shared" si="29"/>
        <v>-9.8228963368293307</v>
      </c>
      <c r="M154" s="8">
        <v>12</v>
      </c>
      <c r="N154" s="13">
        <v>12</v>
      </c>
    </row>
    <row r="155" spans="1:14" ht="23.1" customHeight="1">
      <c r="A155" s="6" t="s">
        <v>16</v>
      </c>
      <c r="B155" s="7" t="s">
        <v>258</v>
      </c>
      <c r="C155" s="8">
        <v>147</v>
      </c>
      <c r="D155" s="8">
        <v>209</v>
      </c>
      <c r="E155" s="9">
        <f t="shared" si="24"/>
        <v>62</v>
      </c>
      <c r="F155" s="10">
        <f t="shared" si="25"/>
        <v>0.42176870748299322</v>
      </c>
      <c r="G155" s="11">
        <v>117233.71</v>
      </c>
      <c r="H155" s="11">
        <v>139097.38</v>
      </c>
      <c r="I155" s="12">
        <f t="shared" si="26"/>
        <v>21863.67</v>
      </c>
      <c r="J155" s="11">
        <f t="shared" si="27"/>
        <v>797.50823129251705</v>
      </c>
      <c r="K155" s="11">
        <f t="shared" si="28"/>
        <v>665.53770334928231</v>
      </c>
      <c r="L155" s="12">
        <f t="shared" si="29"/>
        <v>-131.97052794323474</v>
      </c>
      <c r="M155" s="8">
        <v>11</v>
      </c>
      <c r="N155" s="13">
        <v>11</v>
      </c>
    </row>
    <row r="156" spans="1:14" ht="23.1" customHeight="1">
      <c r="A156" s="6" t="s">
        <v>16</v>
      </c>
      <c r="B156" s="7" t="s">
        <v>259</v>
      </c>
      <c r="C156" s="8">
        <v>116</v>
      </c>
      <c r="D156" s="8">
        <v>174</v>
      </c>
      <c r="E156" s="9">
        <f t="shared" si="24"/>
        <v>58</v>
      </c>
      <c r="F156" s="10">
        <f t="shared" si="25"/>
        <v>0.5</v>
      </c>
      <c r="G156" s="11">
        <v>28761.31</v>
      </c>
      <c r="H156" s="11">
        <v>40860.25</v>
      </c>
      <c r="I156" s="12">
        <f t="shared" si="26"/>
        <v>12098.939999999999</v>
      </c>
      <c r="J156" s="11">
        <f t="shared" si="27"/>
        <v>247.94232758620691</v>
      </c>
      <c r="K156" s="11">
        <f t="shared" si="28"/>
        <v>234.82902298850576</v>
      </c>
      <c r="L156" s="12">
        <f t="shared" si="29"/>
        <v>-13.113304597701159</v>
      </c>
      <c r="M156" s="8">
        <v>7</v>
      </c>
      <c r="N156" s="13">
        <v>7</v>
      </c>
    </row>
    <row r="157" spans="1:14" ht="23.1" customHeight="1">
      <c r="A157" s="6" t="s">
        <v>16</v>
      </c>
      <c r="B157" s="7" t="s">
        <v>260</v>
      </c>
      <c r="C157" s="8">
        <v>185</v>
      </c>
      <c r="D157" s="8">
        <v>236</v>
      </c>
      <c r="E157" s="9">
        <f t="shared" si="24"/>
        <v>51</v>
      </c>
      <c r="F157" s="10">
        <f t="shared" si="25"/>
        <v>0.27567567567567569</v>
      </c>
      <c r="G157" s="11">
        <v>93795.13</v>
      </c>
      <c r="H157" s="11">
        <v>117752.85</v>
      </c>
      <c r="I157" s="12">
        <f t="shared" si="26"/>
        <v>23957.72</v>
      </c>
      <c r="J157" s="11">
        <f t="shared" si="27"/>
        <v>507.00070270270271</v>
      </c>
      <c r="K157" s="11">
        <f t="shared" si="28"/>
        <v>498.95275423728816</v>
      </c>
      <c r="L157" s="12">
        <f t="shared" si="29"/>
        <v>-8.0479484654145494</v>
      </c>
      <c r="M157" s="8">
        <v>19</v>
      </c>
      <c r="N157" s="13">
        <v>16</v>
      </c>
    </row>
    <row r="158" spans="1:14" ht="23.1" customHeight="1">
      <c r="A158" s="6" t="s">
        <v>16</v>
      </c>
      <c r="B158" s="7" t="s">
        <v>261</v>
      </c>
      <c r="C158" s="8">
        <v>89</v>
      </c>
      <c r="D158" s="8">
        <v>133</v>
      </c>
      <c r="E158" s="9">
        <f t="shared" si="24"/>
        <v>44</v>
      </c>
      <c r="F158" s="10">
        <f t="shared" si="25"/>
        <v>0.4943820224719101</v>
      </c>
      <c r="G158" s="11">
        <v>65573.05</v>
      </c>
      <c r="H158" s="11">
        <v>103593.52</v>
      </c>
      <c r="I158" s="12">
        <f t="shared" si="26"/>
        <v>38020.47</v>
      </c>
      <c r="J158" s="11">
        <f t="shared" si="27"/>
        <v>736.7758426966293</v>
      </c>
      <c r="K158" s="11">
        <f t="shared" si="28"/>
        <v>778.89864661654133</v>
      </c>
      <c r="L158" s="12">
        <f t="shared" si="29"/>
        <v>42.12280391991203</v>
      </c>
      <c r="M158" s="8">
        <v>13</v>
      </c>
      <c r="N158" s="13">
        <v>10</v>
      </c>
    </row>
    <row r="159" spans="1:14" ht="23.1" customHeight="1">
      <c r="A159" s="6" t="s">
        <v>16</v>
      </c>
      <c r="B159" s="7" t="s">
        <v>262</v>
      </c>
      <c r="C159" s="8">
        <v>148</v>
      </c>
      <c r="D159" s="8">
        <v>188</v>
      </c>
      <c r="E159" s="9">
        <f t="shared" si="24"/>
        <v>40</v>
      </c>
      <c r="F159" s="10">
        <f t="shared" si="25"/>
        <v>0.27027027027027029</v>
      </c>
      <c r="G159" s="11">
        <v>99212.39</v>
      </c>
      <c r="H159" s="11">
        <v>103640.2</v>
      </c>
      <c r="I159" s="12">
        <f t="shared" si="26"/>
        <v>4427.8099999999977</v>
      </c>
      <c r="J159" s="11">
        <f t="shared" si="27"/>
        <v>670.35398648648652</v>
      </c>
      <c r="K159" s="11">
        <f t="shared" si="28"/>
        <v>551.27765957446809</v>
      </c>
      <c r="L159" s="12">
        <f t="shared" si="29"/>
        <v>-119.07632691201843</v>
      </c>
      <c r="M159" s="8">
        <v>11</v>
      </c>
      <c r="N159" s="13">
        <v>11</v>
      </c>
    </row>
    <row r="160" spans="1:14" ht="23.1" customHeight="1">
      <c r="A160" s="6" t="s">
        <v>16</v>
      </c>
      <c r="B160" s="7" t="s">
        <v>263</v>
      </c>
      <c r="C160" s="8">
        <v>109</v>
      </c>
      <c r="D160" s="8">
        <v>148</v>
      </c>
      <c r="E160" s="9">
        <f t="shared" si="24"/>
        <v>39</v>
      </c>
      <c r="F160" s="10">
        <f t="shared" si="25"/>
        <v>0.3577981651376147</v>
      </c>
      <c r="G160" s="11">
        <v>27193.24</v>
      </c>
      <c r="H160" s="11">
        <v>39711.33</v>
      </c>
      <c r="I160" s="12">
        <f t="shared" si="26"/>
        <v>12518.09</v>
      </c>
      <c r="J160" s="11">
        <f t="shared" si="27"/>
        <v>249.47926605504588</v>
      </c>
      <c r="K160" s="11">
        <f t="shared" si="28"/>
        <v>268.31979729729733</v>
      </c>
      <c r="L160" s="12">
        <f t="shared" si="29"/>
        <v>18.840531242251444</v>
      </c>
      <c r="M160" s="8">
        <v>5</v>
      </c>
      <c r="N160" s="13">
        <v>6</v>
      </c>
    </row>
    <row r="161" spans="1:14" ht="23.1" customHeight="1">
      <c r="A161" s="6" t="s">
        <v>16</v>
      </c>
      <c r="B161" s="7" t="s">
        <v>264</v>
      </c>
      <c r="C161" s="8">
        <v>147</v>
      </c>
      <c r="D161" s="8">
        <v>178</v>
      </c>
      <c r="E161" s="9">
        <f t="shared" si="24"/>
        <v>31</v>
      </c>
      <c r="F161" s="10">
        <f t="shared" si="25"/>
        <v>0.21088435374149661</v>
      </c>
      <c r="G161" s="11">
        <v>94011.65</v>
      </c>
      <c r="H161" s="11">
        <v>99294.93</v>
      </c>
      <c r="I161" s="12">
        <f t="shared" si="26"/>
        <v>5283.2799999999988</v>
      </c>
      <c r="J161" s="11">
        <f t="shared" si="27"/>
        <v>639.53503401360535</v>
      </c>
      <c r="K161" s="11">
        <f t="shared" si="28"/>
        <v>557.83668539325834</v>
      </c>
      <c r="L161" s="12">
        <f t="shared" si="29"/>
        <v>-81.698348620347019</v>
      </c>
      <c r="M161" s="8">
        <v>14</v>
      </c>
      <c r="N161" s="13">
        <v>10</v>
      </c>
    </row>
    <row r="162" spans="1:14" ht="23.1" customHeight="1">
      <c r="A162" s="6" t="s">
        <v>16</v>
      </c>
      <c r="B162" s="7" t="s">
        <v>265</v>
      </c>
      <c r="C162" s="8">
        <v>146</v>
      </c>
      <c r="D162" s="8">
        <v>174</v>
      </c>
      <c r="E162" s="9">
        <f t="shared" si="24"/>
        <v>28</v>
      </c>
      <c r="F162" s="10">
        <f t="shared" si="25"/>
        <v>0.19178082191780821</v>
      </c>
      <c r="G162" s="11">
        <v>93829.38</v>
      </c>
      <c r="H162" s="11">
        <v>116065.17</v>
      </c>
      <c r="I162" s="12">
        <f t="shared" si="26"/>
        <v>22235.789999999994</v>
      </c>
      <c r="J162" s="11">
        <f t="shared" si="27"/>
        <v>642.66698630136989</v>
      </c>
      <c r="K162" s="11">
        <f t="shared" si="28"/>
        <v>667.04120689655167</v>
      </c>
      <c r="L162" s="12">
        <f t="shared" si="29"/>
        <v>24.374220595181782</v>
      </c>
      <c r="M162" s="8">
        <v>10</v>
      </c>
      <c r="N162" s="13">
        <v>11</v>
      </c>
    </row>
    <row r="163" spans="1:14" ht="23.1" customHeight="1">
      <c r="A163" s="6" t="s">
        <v>16</v>
      </c>
      <c r="B163" s="7" t="s">
        <v>266</v>
      </c>
      <c r="C163" s="8">
        <v>126</v>
      </c>
      <c r="D163" s="8">
        <v>154</v>
      </c>
      <c r="E163" s="9">
        <f t="shared" si="24"/>
        <v>28</v>
      </c>
      <c r="F163" s="10">
        <f t="shared" si="25"/>
        <v>0.22222222222222221</v>
      </c>
      <c r="G163" s="11">
        <v>88139.95</v>
      </c>
      <c r="H163" s="11">
        <v>94690.18</v>
      </c>
      <c r="I163" s="12">
        <f t="shared" si="26"/>
        <v>6550.2299999999959</v>
      </c>
      <c r="J163" s="11">
        <f t="shared" si="27"/>
        <v>699.5234126984127</v>
      </c>
      <c r="K163" s="11">
        <f t="shared" si="28"/>
        <v>614.87129870129866</v>
      </c>
      <c r="L163" s="12">
        <f t="shared" si="29"/>
        <v>-84.652113997114043</v>
      </c>
      <c r="M163" s="8">
        <v>11</v>
      </c>
      <c r="N163" s="13">
        <v>11</v>
      </c>
    </row>
    <row r="164" spans="1:14" ht="23.1" customHeight="1">
      <c r="A164" s="6" t="s">
        <v>16</v>
      </c>
      <c r="B164" s="7" t="s">
        <v>174</v>
      </c>
      <c r="C164" s="8">
        <v>138</v>
      </c>
      <c r="D164" s="8">
        <v>115</v>
      </c>
      <c r="E164" s="9">
        <f t="shared" si="24"/>
        <v>-23</v>
      </c>
      <c r="F164" s="10">
        <f t="shared" si="25"/>
        <v>-0.16666666666666666</v>
      </c>
      <c r="G164" s="11">
        <v>78460.899999999994</v>
      </c>
      <c r="H164" s="11">
        <v>60953.59</v>
      </c>
      <c r="I164" s="12">
        <f t="shared" si="26"/>
        <v>-17507.309999999998</v>
      </c>
      <c r="J164" s="11">
        <f t="shared" si="27"/>
        <v>568.55724637681158</v>
      </c>
      <c r="K164" s="11">
        <f t="shared" si="28"/>
        <v>530.03121739130427</v>
      </c>
      <c r="L164" s="12">
        <f t="shared" si="29"/>
        <v>-38.52602898550731</v>
      </c>
      <c r="M164" s="8">
        <v>15</v>
      </c>
      <c r="N164" s="13">
        <v>10</v>
      </c>
    </row>
    <row r="165" spans="1:14" ht="23.1" customHeight="1">
      <c r="A165" s="6" t="s">
        <v>16</v>
      </c>
      <c r="B165" s="7" t="s">
        <v>267</v>
      </c>
      <c r="C165" s="8">
        <v>121</v>
      </c>
      <c r="D165" s="8">
        <v>143</v>
      </c>
      <c r="E165" s="9">
        <f t="shared" ref="E165:E196" si="30">D165-C165</f>
        <v>22</v>
      </c>
      <c r="F165" s="10">
        <f t="shared" ref="F165:F196" si="31">IF(C165=0,"",E165/C165)</f>
        <v>0.18181818181818182</v>
      </c>
      <c r="G165" s="11">
        <v>84999.01</v>
      </c>
      <c r="H165" s="11">
        <v>106899.6</v>
      </c>
      <c r="I165" s="12">
        <f t="shared" ref="I165:I196" si="32">H165-G165</f>
        <v>21900.590000000011</v>
      </c>
      <c r="J165" s="11">
        <f t="shared" ref="J165:J196" si="33">IF(C165=0,"",G165/C165)</f>
        <v>702.47115702479334</v>
      </c>
      <c r="K165" s="11">
        <f t="shared" ref="K165:K196" si="34">IF(D165=0,"",H165/D165)</f>
        <v>747.54965034965039</v>
      </c>
      <c r="L165" s="12">
        <f t="shared" ref="L165:L196" si="35">IF(OR(J165="",K165=""),"",K165-J165)</f>
        <v>45.07849332485705</v>
      </c>
      <c r="M165" s="8">
        <v>12</v>
      </c>
      <c r="N165" s="13">
        <v>10</v>
      </c>
    </row>
    <row r="166" spans="1:14" ht="23.1" customHeight="1">
      <c r="A166" s="6" t="s">
        <v>16</v>
      </c>
      <c r="B166" s="7" t="s">
        <v>268</v>
      </c>
      <c r="C166" s="8">
        <v>99</v>
      </c>
      <c r="D166" s="8">
        <v>120</v>
      </c>
      <c r="E166" s="9">
        <f t="shared" si="30"/>
        <v>21</v>
      </c>
      <c r="F166" s="10">
        <f t="shared" si="31"/>
        <v>0.21212121212121213</v>
      </c>
      <c r="G166" s="11">
        <v>60454.51</v>
      </c>
      <c r="H166" s="11">
        <v>81399.820000000007</v>
      </c>
      <c r="I166" s="12">
        <f t="shared" si="32"/>
        <v>20945.310000000005</v>
      </c>
      <c r="J166" s="11">
        <f t="shared" si="33"/>
        <v>610.65161616161618</v>
      </c>
      <c r="K166" s="11">
        <f t="shared" si="34"/>
        <v>678.33183333333341</v>
      </c>
      <c r="L166" s="12">
        <f t="shared" si="35"/>
        <v>67.680217171717231</v>
      </c>
      <c r="M166" s="8">
        <v>10</v>
      </c>
      <c r="N166" s="13">
        <v>10</v>
      </c>
    </row>
    <row r="167" spans="1:14" ht="23.1" customHeight="1">
      <c r="A167" s="6" t="s">
        <v>16</v>
      </c>
      <c r="B167" s="7" t="s">
        <v>269</v>
      </c>
      <c r="C167" s="8">
        <v>132</v>
      </c>
      <c r="D167" s="8">
        <v>111</v>
      </c>
      <c r="E167" s="9">
        <f t="shared" si="30"/>
        <v>-21</v>
      </c>
      <c r="F167" s="10">
        <f t="shared" si="31"/>
        <v>-0.15909090909090909</v>
      </c>
      <c r="G167" s="11">
        <v>8094.24</v>
      </c>
      <c r="H167" s="11">
        <v>6806.52</v>
      </c>
      <c r="I167" s="12">
        <f t="shared" si="32"/>
        <v>-1287.7199999999993</v>
      </c>
      <c r="J167" s="11">
        <f t="shared" si="33"/>
        <v>61.32</v>
      </c>
      <c r="K167" s="11">
        <f t="shared" si="34"/>
        <v>61.320000000000007</v>
      </c>
      <c r="L167" s="12">
        <f t="shared" si="35"/>
        <v>7.1054273576010019E-15</v>
      </c>
      <c r="M167" s="8">
        <v>1</v>
      </c>
      <c r="N167" s="13">
        <v>1</v>
      </c>
    </row>
    <row r="168" spans="1:14" ht="23.1" customHeight="1">
      <c r="A168" s="6" t="s">
        <v>16</v>
      </c>
      <c r="B168" s="7" t="s">
        <v>270</v>
      </c>
      <c r="C168" s="8">
        <v>57</v>
      </c>
      <c r="D168" s="8">
        <v>37</v>
      </c>
      <c r="E168" s="9">
        <f t="shared" si="30"/>
        <v>-20</v>
      </c>
      <c r="F168" s="10">
        <f t="shared" si="31"/>
        <v>-0.35087719298245612</v>
      </c>
      <c r="G168" s="11">
        <v>19265.89</v>
      </c>
      <c r="H168" s="11">
        <v>15420.36</v>
      </c>
      <c r="I168" s="12">
        <f t="shared" si="32"/>
        <v>-3845.5299999999988</v>
      </c>
      <c r="J168" s="11">
        <f t="shared" si="33"/>
        <v>337.99807017543861</v>
      </c>
      <c r="K168" s="11">
        <f t="shared" si="34"/>
        <v>416.76648648648649</v>
      </c>
      <c r="L168" s="12">
        <f t="shared" si="35"/>
        <v>78.768416311047872</v>
      </c>
      <c r="M168" s="8">
        <v>4</v>
      </c>
      <c r="N168" s="13">
        <v>5</v>
      </c>
    </row>
    <row r="169" spans="1:14" ht="23.1" customHeight="1">
      <c r="A169" s="6" t="s">
        <v>16</v>
      </c>
      <c r="B169" s="7" t="s">
        <v>271</v>
      </c>
      <c r="C169" s="8">
        <v>20</v>
      </c>
      <c r="D169" s="8">
        <v>0</v>
      </c>
      <c r="E169" s="9">
        <f t="shared" si="30"/>
        <v>-20</v>
      </c>
      <c r="F169" s="10">
        <f t="shared" si="31"/>
        <v>-1</v>
      </c>
      <c r="G169" s="11">
        <v>10416.200000000001</v>
      </c>
      <c r="H169" s="11">
        <v>0</v>
      </c>
      <c r="I169" s="12">
        <f t="shared" si="32"/>
        <v>-10416.200000000001</v>
      </c>
      <c r="J169" s="11">
        <f t="shared" si="33"/>
        <v>520.81000000000006</v>
      </c>
      <c r="K169" s="11" t="str">
        <f t="shared" si="34"/>
        <v/>
      </c>
      <c r="L169" s="12" t="str">
        <f t="shared" si="35"/>
        <v/>
      </c>
      <c r="M169" s="8">
        <v>1</v>
      </c>
      <c r="N169" s="13">
        <v>0</v>
      </c>
    </row>
    <row r="170" spans="1:14" ht="23.1" customHeight="1">
      <c r="A170" s="6" t="s">
        <v>16</v>
      </c>
      <c r="B170" s="7" t="s">
        <v>272</v>
      </c>
      <c r="C170" s="8">
        <v>156</v>
      </c>
      <c r="D170" s="8">
        <v>137</v>
      </c>
      <c r="E170" s="9">
        <f t="shared" si="30"/>
        <v>-19</v>
      </c>
      <c r="F170" s="10">
        <f t="shared" si="31"/>
        <v>-0.12179487179487179</v>
      </c>
      <c r="G170" s="11">
        <v>107123.21</v>
      </c>
      <c r="H170" s="11">
        <v>104096.46</v>
      </c>
      <c r="I170" s="12">
        <f t="shared" si="32"/>
        <v>-3026.75</v>
      </c>
      <c r="J170" s="11">
        <f t="shared" si="33"/>
        <v>686.68724358974362</v>
      </c>
      <c r="K170" s="11">
        <f t="shared" si="34"/>
        <v>759.8281751824818</v>
      </c>
      <c r="L170" s="12">
        <f t="shared" si="35"/>
        <v>73.140931592738184</v>
      </c>
      <c r="M170" s="8">
        <v>11</v>
      </c>
      <c r="N170" s="13">
        <v>12</v>
      </c>
    </row>
    <row r="171" spans="1:14" ht="23.1" customHeight="1">
      <c r="A171" s="6" t="s">
        <v>16</v>
      </c>
      <c r="B171" s="7" t="s">
        <v>273</v>
      </c>
      <c r="C171" s="8">
        <v>18</v>
      </c>
      <c r="D171" s="8">
        <v>0</v>
      </c>
      <c r="E171" s="9">
        <f t="shared" si="30"/>
        <v>-18</v>
      </c>
      <c r="F171" s="10">
        <f t="shared" si="31"/>
        <v>-1</v>
      </c>
      <c r="G171" s="11">
        <v>9374.58</v>
      </c>
      <c r="H171" s="11">
        <v>0</v>
      </c>
      <c r="I171" s="12">
        <f t="shared" si="32"/>
        <v>-9374.58</v>
      </c>
      <c r="J171" s="11">
        <f t="shared" si="33"/>
        <v>520.80999999999995</v>
      </c>
      <c r="K171" s="11" t="str">
        <f t="shared" si="34"/>
        <v/>
      </c>
      <c r="L171" s="12" t="str">
        <f t="shared" si="35"/>
        <v/>
      </c>
      <c r="M171" s="8">
        <v>1</v>
      </c>
      <c r="N171" s="13">
        <v>0</v>
      </c>
    </row>
    <row r="172" spans="1:14" ht="23.1" customHeight="1">
      <c r="A172" s="6" t="s">
        <v>16</v>
      </c>
      <c r="B172" s="7" t="s">
        <v>274</v>
      </c>
      <c r="C172" s="8">
        <v>0</v>
      </c>
      <c r="D172" s="8">
        <v>18</v>
      </c>
      <c r="E172" s="9">
        <f t="shared" si="30"/>
        <v>18</v>
      </c>
      <c r="F172" s="10" t="str">
        <f t="shared" si="31"/>
        <v/>
      </c>
      <c r="G172" s="11">
        <v>0</v>
      </c>
      <c r="H172" s="11">
        <v>4422.96</v>
      </c>
      <c r="I172" s="12">
        <f t="shared" si="32"/>
        <v>4422.96</v>
      </c>
      <c r="J172" s="11" t="str">
        <f t="shared" si="33"/>
        <v/>
      </c>
      <c r="K172" s="11">
        <f t="shared" si="34"/>
        <v>245.72</v>
      </c>
      <c r="L172" s="12" t="str">
        <f t="shared" si="35"/>
        <v/>
      </c>
      <c r="M172" s="8">
        <v>0</v>
      </c>
      <c r="N172" s="13">
        <v>1</v>
      </c>
    </row>
    <row r="173" spans="1:14" ht="23.1" customHeight="1">
      <c r="A173" s="6" t="s">
        <v>16</v>
      </c>
      <c r="B173" s="7" t="s">
        <v>275</v>
      </c>
      <c r="C173" s="8">
        <v>0</v>
      </c>
      <c r="D173" s="8">
        <v>17</v>
      </c>
      <c r="E173" s="9">
        <f t="shared" si="30"/>
        <v>17</v>
      </c>
      <c r="F173" s="10" t="str">
        <f t="shared" si="31"/>
        <v/>
      </c>
      <c r="G173" s="11">
        <v>0</v>
      </c>
      <c r="H173" s="11">
        <v>1042.44</v>
      </c>
      <c r="I173" s="12">
        <f t="shared" si="32"/>
        <v>1042.44</v>
      </c>
      <c r="J173" s="11" t="str">
        <f t="shared" si="33"/>
        <v/>
      </c>
      <c r="K173" s="11">
        <f t="shared" si="34"/>
        <v>61.32</v>
      </c>
      <c r="L173" s="12" t="str">
        <f t="shared" si="35"/>
        <v/>
      </c>
      <c r="M173" s="8">
        <v>0</v>
      </c>
      <c r="N173" s="13">
        <v>1</v>
      </c>
    </row>
    <row r="174" spans="1:14" ht="23.1" customHeight="1">
      <c r="A174" s="6" t="s">
        <v>16</v>
      </c>
      <c r="B174" s="7" t="s">
        <v>276</v>
      </c>
      <c r="C174" s="8">
        <v>163</v>
      </c>
      <c r="D174" s="8">
        <v>149</v>
      </c>
      <c r="E174" s="9">
        <f t="shared" si="30"/>
        <v>-14</v>
      </c>
      <c r="F174" s="10">
        <f t="shared" si="31"/>
        <v>-8.5889570552147243E-2</v>
      </c>
      <c r="G174" s="11">
        <v>118767.01</v>
      </c>
      <c r="H174" s="11">
        <v>95669.06</v>
      </c>
      <c r="I174" s="12">
        <f t="shared" si="32"/>
        <v>-23097.949999999997</v>
      </c>
      <c r="J174" s="11">
        <f t="shared" si="33"/>
        <v>728.63196319018402</v>
      </c>
      <c r="K174" s="11">
        <f t="shared" si="34"/>
        <v>642.0742281879194</v>
      </c>
      <c r="L174" s="12">
        <f t="shared" si="35"/>
        <v>-86.557735002264621</v>
      </c>
      <c r="M174" s="8">
        <v>11</v>
      </c>
      <c r="N174" s="13">
        <v>11</v>
      </c>
    </row>
    <row r="175" spans="1:14" ht="23.1" customHeight="1">
      <c r="A175" s="6" t="s">
        <v>16</v>
      </c>
      <c r="B175" s="7" t="s">
        <v>277</v>
      </c>
      <c r="C175" s="8">
        <v>199</v>
      </c>
      <c r="D175" s="8">
        <v>186</v>
      </c>
      <c r="E175" s="9">
        <f t="shared" si="30"/>
        <v>-13</v>
      </c>
      <c r="F175" s="10">
        <f t="shared" si="31"/>
        <v>-6.5326633165829151E-2</v>
      </c>
      <c r="G175" s="11">
        <v>127907.67</v>
      </c>
      <c r="H175" s="11">
        <v>101215.94</v>
      </c>
      <c r="I175" s="12">
        <f t="shared" si="32"/>
        <v>-26691.729999999996</v>
      </c>
      <c r="J175" s="11">
        <f t="shared" si="33"/>
        <v>642.75211055276384</v>
      </c>
      <c r="K175" s="11">
        <f t="shared" si="34"/>
        <v>544.17172043010748</v>
      </c>
      <c r="L175" s="12">
        <f t="shared" si="35"/>
        <v>-98.580390122656354</v>
      </c>
      <c r="M175" s="8">
        <v>14</v>
      </c>
      <c r="N175" s="13">
        <v>13</v>
      </c>
    </row>
    <row r="176" spans="1:14" ht="23.1" customHeight="1">
      <c r="A176" s="6" t="s">
        <v>16</v>
      </c>
      <c r="B176" s="7" t="s">
        <v>278</v>
      </c>
      <c r="C176" s="8">
        <v>170</v>
      </c>
      <c r="D176" s="8">
        <v>159</v>
      </c>
      <c r="E176" s="9">
        <f t="shared" si="30"/>
        <v>-11</v>
      </c>
      <c r="F176" s="10">
        <f t="shared" si="31"/>
        <v>-6.4705882352941183E-2</v>
      </c>
      <c r="G176" s="11">
        <v>35316.300000000003</v>
      </c>
      <c r="H176" s="11">
        <v>32284.91</v>
      </c>
      <c r="I176" s="12">
        <f t="shared" si="32"/>
        <v>-3031.3900000000031</v>
      </c>
      <c r="J176" s="11">
        <f t="shared" si="33"/>
        <v>207.74294117647059</v>
      </c>
      <c r="K176" s="11">
        <f t="shared" si="34"/>
        <v>203.04974842767297</v>
      </c>
      <c r="L176" s="12">
        <f t="shared" si="35"/>
        <v>-4.6931927487976282</v>
      </c>
      <c r="M176" s="8">
        <v>3</v>
      </c>
      <c r="N176" s="13">
        <v>4</v>
      </c>
    </row>
    <row r="177" spans="1:14" ht="23.1" customHeight="1">
      <c r="A177" s="6" t="s">
        <v>16</v>
      </c>
      <c r="B177" s="7" t="s">
        <v>279</v>
      </c>
      <c r="C177" s="8">
        <v>10</v>
      </c>
      <c r="D177" s="8">
        <v>0</v>
      </c>
      <c r="E177" s="9">
        <f t="shared" si="30"/>
        <v>-10</v>
      </c>
      <c r="F177" s="10">
        <f t="shared" si="31"/>
        <v>-1</v>
      </c>
      <c r="G177" s="11">
        <v>4686.99</v>
      </c>
      <c r="H177" s="11">
        <v>0</v>
      </c>
      <c r="I177" s="12">
        <f t="shared" si="32"/>
        <v>-4686.99</v>
      </c>
      <c r="J177" s="11">
        <f t="shared" si="33"/>
        <v>468.69899999999996</v>
      </c>
      <c r="K177" s="11" t="str">
        <f t="shared" si="34"/>
        <v/>
      </c>
      <c r="L177" s="12" t="str">
        <f t="shared" si="35"/>
        <v/>
      </c>
      <c r="M177" s="8">
        <v>6</v>
      </c>
      <c r="N177" s="13">
        <v>0</v>
      </c>
    </row>
    <row r="178" spans="1:14" ht="23.1" customHeight="1">
      <c r="A178" s="6" t="s">
        <v>16</v>
      </c>
      <c r="B178" s="7" t="s">
        <v>280</v>
      </c>
      <c r="C178" s="8">
        <v>150</v>
      </c>
      <c r="D178" s="8">
        <v>141</v>
      </c>
      <c r="E178" s="9">
        <f t="shared" si="30"/>
        <v>-9</v>
      </c>
      <c r="F178" s="10">
        <f t="shared" si="31"/>
        <v>-0.06</v>
      </c>
      <c r="G178" s="11">
        <v>9198</v>
      </c>
      <c r="H178" s="11">
        <v>8646.1200000000008</v>
      </c>
      <c r="I178" s="12">
        <f t="shared" si="32"/>
        <v>-551.8799999999992</v>
      </c>
      <c r="J178" s="11">
        <f t="shared" si="33"/>
        <v>61.32</v>
      </c>
      <c r="K178" s="11">
        <f t="shared" si="34"/>
        <v>61.320000000000007</v>
      </c>
      <c r="L178" s="12">
        <f t="shared" si="35"/>
        <v>7.1054273576010019E-15</v>
      </c>
      <c r="M178" s="8">
        <v>1</v>
      </c>
      <c r="N178" s="13">
        <v>1</v>
      </c>
    </row>
    <row r="179" spans="1:14" ht="23.1" customHeight="1">
      <c r="A179" s="6" t="s">
        <v>16</v>
      </c>
      <c r="B179" s="7" t="s">
        <v>281</v>
      </c>
      <c r="C179" s="8">
        <v>0</v>
      </c>
      <c r="D179" s="8">
        <v>8</v>
      </c>
      <c r="E179" s="9">
        <f t="shared" si="30"/>
        <v>8</v>
      </c>
      <c r="F179" s="10" t="str">
        <f t="shared" si="31"/>
        <v/>
      </c>
      <c r="G179" s="11">
        <v>0</v>
      </c>
      <c r="H179" s="11">
        <v>3513.37</v>
      </c>
      <c r="I179" s="12">
        <f t="shared" si="32"/>
        <v>3513.37</v>
      </c>
      <c r="J179" s="11" t="str">
        <f t="shared" si="33"/>
        <v/>
      </c>
      <c r="K179" s="11">
        <f t="shared" si="34"/>
        <v>439.17124999999999</v>
      </c>
      <c r="L179" s="12" t="str">
        <f t="shared" si="35"/>
        <v/>
      </c>
      <c r="M179" s="8">
        <v>0</v>
      </c>
      <c r="N179" s="13">
        <v>6</v>
      </c>
    </row>
    <row r="180" spans="1:14" ht="23.1" customHeight="1">
      <c r="A180" s="6" t="s">
        <v>16</v>
      </c>
      <c r="B180" s="7" t="s">
        <v>282</v>
      </c>
      <c r="C180" s="8">
        <v>128</v>
      </c>
      <c r="D180" s="8">
        <v>121</v>
      </c>
      <c r="E180" s="9">
        <f t="shared" si="30"/>
        <v>-7</v>
      </c>
      <c r="F180" s="10">
        <f t="shared" si="31"/>
        <v>-5.46875E-2</v>
      </c>
      <c r="G180" s="11">
        <v>32762.59</v>
      </c>
      <c r="H180" s="11">
        <v>28504.92</v>
      </c>
      <c r="I180" s="12">
        <f t="shared" si="32"/>
        <v>-4257.6700000000019</v>
      </c>
      <c r="J180" s="11">
        <f t="shared" si="33"/>
        <v>255.957734375</v>
      </c>
      <c r="K180" s="11">
        <f t="shared" si="34"/>
        <v>235.5778512396694</v>
      </c>
      <c r="L180" s="12">
        <f t="shared" si="35"/>
        <v>-20.379883135330601</v>
      </c>
      <c r="M180" s="8">
        <v>7</v>
      </c>
      <c r="N180" s="13">
        <v>5</v>
      </c>
    </row>
    <row r="181" spans="1:14" ht="23.1" customHeight="1">
      <c r="A181" s="6" t="s">
        <v>16</v>
      </c>
      <c r="B181" s="7" t="s">
        <v>283</v>
      </c>
      <c r="C181" s="8">
        <v>108</v>
      </c>
      <c r="D181" s="8">
        <v>115</v>
      </c>
      <c r="E181" s="9">
        <f t="shared" si="30"/>
        <v>7</v>
      </c>
      <c r="F181" s="10">
        <f t="shared" si="31"/>
        <v>6.4814814814814811E-2</v>
      </c>
      <c r="G181" s="11">
        <v>73620.759999999995</v>
      </c>
      <c r="H181" s="11">
        <v>116571.07</v>
      </c>
      <c r="I181" s="12">
        <f t="shared" si="32"/>
        <v>42950.310000000012</v>
      </c>
      <c r="J181" s="11">
        <f t="shared" si="33"/>
        <v>681.67370370370361</v>
      </c>
      <c r="K181" s="11">
        <f t="shared" si="34"/>
        <v>1013.6614782608697</v>
      </c>
      <c r="L181" s="12">
        <f t="shared" si="35"/>
        <v>331.98777455716606</v>
      </c>
      <c r="M181" s="8">
        <v>12</v>
      </c>
      <c r="N181" s="13">
        <v>13</v>
      </c>
    </row>
    <row r="182" spans="1:14" ht="23.1" customHeight="1">
      <c r="A182" s="6" t="s">
        <v>16</v>
      </c>
      <c r="B182" s="7" t="s">
        <v>284</v>
      </c>
      <c r="C182" s="8">
        <v>6</v>
      </c>
      <c r="D182" s="8">
        <v>0</v>
      </c>
      <c r="E182" s="9">
        <f t="shared" si="30"/>
        <v>-6</v>
      </c>
      <c r="F182" s="10">
        <f t="shared" si="31"/>
        <v>-1</v>
      </c>
      <c r="G182" s="11">
        <v>4713.87</v>
      </c>
      <c r="H182" s="11">
        <v>0</v>
      </c>
      <c r="I182" s="12">
        <f t="shared" si="32"/>
        <v>-4713.87</v>
      </c>
      <c r="J182" s="11">
        <f t="shared" si="33"/>
        <v>785.64499999999998</v>
      </c>
      <c r="K182" s="11" t="str">
        <f t="shared" si="34"/>
        <v/>
      </c>
      <c r="L182" s="12" t="str">
        <f t="shared" si="35"/>
        <v/>
      </c>
      <c r="M182" s="8">
        <v>2</v>
      </c>
      <c r="N182" s="13">
        <v>0</v>
      </c>
    </row>
    <row r="183" spans="1:14" ht="23.1" customHeight="1">
      <c r="A183" s="6" t="s">
        <v>16</v>
      </c>
      <c r="B183" s="7" t="s">
        <v>285</v>
      </c>
      <c r="C183" s="8">
        <v>6</v>
      </c>
      <c r="D183" s="8">
        <v>0</v>
      </c>
      <c r="E183" s="9">
        <f t="shared" si="30"/>
        <v>-6</v>
      </c>
      <c r="F183" s="10">
        <f t="shared" si="31"/>
        <v>-1</v>
      </c>
      <c r="G183" s="11">
        <v>3124.86</v>
      </c>
      <c r="H183" s="11">
        <v>0</v>
      </c>
      <c r="I183" s="12">
        <f t="shared" si="32"/>
        <v>-3124.86</v>
      </c>
      <c r="J183" s="11">
        <f t="shared" si="33"/>
        <v>520.81000000000006</v>
      </c>
      <c r="K183" s="11" t="str">
        <f t="shared" si="34"/>
        <v/>
      </c>
      <c r="L183" s="12" t="str">
        <f t="shared" si="35"/>
        <v/>
      </c>
      <c r="M183" s="8">
        <v>1</v>
      </c>
      <c r="N183" s="13">
        <v>0</v>
      </c>
    </row>
    <row r="184" spans="1:14" ht="23.1" customHeight="1">
      <c r="A184" s="6" t="s">
        <v>16</v>
      </c>
      <c r="B184" s="7" t="s">
        <v>286</v>
      </c>
      <c r="C184" s="8">
        <v>143</v>
      </c>
      <c r="D184" s="8">
        <v>147</v>
      </c>
      <c r="E184" s="9">
        <f t="shared" si="30"/>
        <v>4</v>
      </c>
      <c r="F184" s="10">
        <f t="shared" si="31"/>
        <v>2.7972027972027972E-2</v>
      </c>
      <c r="G184" s="11">
        <v>93881.95</v>
      </c>
      <c r="H184" s="11">
        <v>98751.32</v>
      </c>
      <c r="I184" s="12">
        <f t="shared" si="32"/>
        <v>4869.3700000000099</v>
      </c>
      <c r="J184" s="11">
        <f t="shared" si="33"/>
        <v>656.51713286713289</v>
      </c>
      <c r="K184" s="11">
        <f t="shared" si="34"/>
        <v>671.77768707482994</v>
      </c>
      <c r="L184" s="12">
        <f t="shared" si="35"/>
        <v>15.260554207697055</v>
      </c>
      <c r="M184" s="8">
        <v>14</v>
      </c>
      <c r="N184" s="13">
        <v>13</v>
      </c>
    </row>
    <row r="185" spans="1:14" ht="23.1" customHeight="1">
      <c r="A185" s="6" t="s">
        <v>16</v>
      </c>
      <c r="B185" s="7" t="s">
        <v>287</v>
      </c>
      <c r="C185" s="8">
        <v>41</v>
      </c>
      <c r="D185" s="8">
        <v>44</v>
      </c>
      <c r="E185" s="9">
        <f t="shared" si="30"/>
        <v>3</v>
      </c>
      <c r="F185" s="10">
        <f t="shared" si="31"/>
        <v>7.3170731707317069E-2</v>
      </c>
      <c r="G185" s="11">
        <v>44371.09</v>
      </c>
      <c r="H185" s="11">
        <v>30266.82</v>
      </c>
      <c r="I185" s="12">
        <f t="shared" si="32"/>
        <v>-14104.269999999997</v>
      </c>
      <c r="J185" s="11">
        <f t="shared" si="33"/>
        <v>1082.2217073170732</v>
      </c>
      <c r="K185" s="11">
        <f t="shared" si="34"/>
        <v>687.88227272727272</v>
      </c>
      <c r="L185" s="12">
        <f t="shared" si="35"/>
        <v>-394.33943458980048</v>
      </c>
      <c r="M185" s="8">
        <v>9</v>
      </c>
      <c r="N185" s="13">
        <v>10</v>
      </c>
    </row>
    <row r="186" spans="1:14" ht="23.1" customHeight="1">
      <c r="A186" s="6" t="s">
        <v>16</v>
      </c>
      <c r="B186" s="7" t="s">
        <v>288</v>
      </c>
      <c r="C186" s="8">
        <v>2</v>
      </c>
      <c r="D186" s="8">
        <v>5</v>
      </c>
      <c r="E186" s="9">
        <f t="shared" si="30"/>
        <v>3</v>
      </c>
      <c r="F186" s="10">
        <f t="shared" si="31"/>
        <v>1.5</v>
      </c>
      <c r="G186" s="11">
        <v>1334.48</v>
      </c>
      <c r="H186" s="11">
        <v>4778.78</v>
      </c>
      <c r="I186" s="12">
        <f t="shared" si="32"/>
        <v>3444.2999999999997</v>
      </c>
      <c r="J186" s="11">
        <f t="shared" si="33"/>
        <v>667.24</v>
      </c>
      <c r="K186" s="11">
        <f t="shared" si="34"/>
        <v>955.75599999999997</v>
      </c>
      <c r="L186" s="12">
        <f t="shared" si="35"/>
        <v>288.51599999999996</v>
      </c>
      <c r="M186" s="8">
        <v>2</v>
      </c>
      <c r="N186" s="13">
        <v>3</v>
      </c>
    </row>
    <row r="187" spans="1:14" ht="23.1" customHeight="1">
      <c r="A187" s="6" t="s">
        <v>16</v>
      </c>
      <c r="B187" s="7" t="s">
        <v>289</v>
      </c>
      <c r="C187" s="8">
        <v>2</v>
      </c>
      <c r="D187" s="8">
        <v>0</v>
      </c>
      <c r="E187" s="9">
        <f t="shared" si="30"/>
        <v>-2</v>
      </c>
      <c r="F187" s="10">
        <f t="shared" si="31"/>
        <v>-1</v>
      </c>
      <c r="G187" s="11">
        <v>295.35000000000002</v>
      </c>
      <c r="H187" s="11">
        <v>0</v>
      </c>
      <c r="I187" s="12">
        <f t="shared" si="32"/>
        <v>-295.35000000000002</v>
      </c>
      <c r="J187" s="11">
        <f t="shared" si="33"/>
        <v>147.67500000000001</v>
      </c>
      <c r="K187" s="11" t="str">
        <f t="shared" si="34"/>
        <v/>
      </c>
      <c r="L187" s="12" t="str">
        <f t="shared" si="35"/>
        <v/>
      </c>
      <c r="M187" s="8">
        <v>2</v>
      </c>
      <c r="N187" s="13">
        <v>0</v>
      </c>
    </row>
    <row r="188" spans="1:14" ht="23.1" customHeight="1">
      <c r="A188" s="6" t="s">
        <v>16</v>
      </c>
      <c r="B188" s="7" t="s">
        <v>290</v>
      </c>
      <c r="C188" s="8">
        <v>174</v>
      </c>
      <c r="D188" s="8">
        <v>175</v>
      </c>
      <c r="E188" s="9">
        <f t="shared" si="30"/>
        <v>1</v>
      </c>
      <c r="F188" s="10">
        <f t="shared" si="31"/>
        <v>5.7471264367816091E-3</v>
      </c>
      <c r="G188" s="11">
        <v>114313.16</v>
      </c>
      <c r="H188" s="11">
        <v>98447.95</v>
      </c>
      <c r="I188" s="12">
        <f t="shared" si="32"/>
        <v>-15865.210000000006</v>
      </c>
      <c r="J188" s="11">
        <f t="shared" si="33"/>
        <v>656.97218390804596</v>
      </c>
      <c r="K188" s="11">
        <f t="shared" si="34"/>
        <v>562.55971428571422</v>
      </c>
      <c r="L188" s="12">
        <f t="shared" si="35"/>
        <v>-94.412469622331741</v>
      </c>
      <c r="M188" s="8">
        <v>13</v>
      </c>
      <c r="N188" s="13">
        <v>13</v>
      </c>
    </row>
    <row r="189" spans="1:14" ht="23.1" customHeight="1">
      <c r="A189" s="6" t="s">
        <v>17</v>
      </c>
      <c r="B189" s="7" t="s">
        <v>291</v>
      </c>
      <c r="C189" s="8">
        <v>0</v>
      </c>
      <c r="D189" s="8">
        <v>199</v>
      </c>
      <c r="E189" s="9">
        <f t="shared" si="30"/>
        <v>199</v>
      </c>
      <c r="F189" s="10" t="str">
        <f t="shared" si="31"/>
        <v/>
      </c>
      <c r="G189" s="11">
        <v>0</v>
      </c>
      <c r="H189" s="11">
        <v>158139.92000000001</v>
      </c>
      <c r="I189" s="12">
        <f t="shared" si="32"/>
        <v>158139.92000000001</v>
      </c>
      <c r="J189" s="11" t="str">
        <f t="shared" si="33"/>
        <v/>
      </c>
      <c r="K189" s="11">
        <f t="shared" si="34"/>
        <v>794.67296482412064</v>
      </c>
      <c r="L189" s="12" t="str">
        <f t="shared" si="35"/>
        <v/>
      </c>
      <c r="M189" s="8">
        <v>0</v>
      </c>
      <c r="N189" s="13">
        <v>11</v>
      </c>
    </row>
    <row r="190" spans="1:14" ht="23.1" customHeight="1">
      <c r="A190" s="6" t="s">
        <v>17</v>
      </c>
      <c r="B190" s="7" t="s">
        <v>248</v>
      </c>
      <c r="C190" s="8">
        <v>73</v>
      </c>
      <c r="D190" s="8">
        <v>181</v>
      </c>
      <c r="E190" s="9">
        <f t="shared" si="30"/>
        <v>108</v>
      </c>
      <c r="F190" s="10">
        <f t="shared" si="31"/>
        <v>1.4794520547945205</v>
      </c>
      <c r="G190" s="11">
        <v>51380.07</v>
      </c>
      <c r="H190" s="11">
        <v>147968.60999999999</v>
      </c>
      <c r="I190" s="12">
        <f t="shared" si="32"/>
        <v>96588.539999999979</v>
      </c>
      <c r="J190" s="11">
        <f t="shared" si="33"/>
        <v>703.83657534246572</v>
      </c>
      <c r="K190" s="11">
        <f t="shared" si="34"/>
        <v>817.50613259668501</v>
      </c>
      <c r="L190" s="12">
        <f t="shared" si="35"/>
        <v>113.66955725421928</v>
      </c>
      <c r="M190" s="8">
        <v>11</v>
      </c>
      <c r="N190" s="13">
        <v>13</v>
      </c>
    </row>
    <row r="191" spans="1:14" ht="23.1" customHeight="1">
      <c r="A191" s="6" t="s">
        <v>17</v>
      </c>
      <c r="B191" s="7" t="s">
        <v>292</v>
      </c>
      <c r="C191" s="8">
        <v>91</v>
      </c>
      <c r="D191" s="8">
        <v>2</v>
      </c>
      <c r="E191" s="9">
        <f t="shared" si="30"/>
        <v>-89</v>
      </c>
      <c r="F191" s="10">
        <f t="shared" si="31"/>
        <v>-0.97802197802197799</v>
      </c>
      <c r="G191" s="11">
        <v>32515.69</v>
      </c>
      <c r="H191" s="11">
        <v>395.14</v>
      </c>
      <c r="I191" s="12">
        <f t="shared" si="32"/>
        <v>-32120.55</v>
      </c>
      <c r="J191" s="11">
        <f t="shared" si="33"/>
        <v>357.31527472527472</v>
      </c>
      <c r="K191" s="11">
        <f t="shared" si="34"/>
        <v>197.57</v>
      </c>
      <c r="L191" s="12">
        <f t="shared" si="35"/>
        <v>-159.74527472527473</v>
      </c>
      <c r="M191" s="8">
        <v>8</v>
      </c>
      <c r="N191" s="13">
        <v>2</v>
      </c>
    </row>
    <row r="192" spans="1:14" ht="23.1" customHeight="1">
      <c r="A192" s="6" t="s">
        <v>17</v>
      </c>
      <c r="B192" s="7" t="s">
        <v>293</v>
      </c>
      <c r="C192" s="8">
        <v>88</v>
      </c>
      <c r="D192" s="8">
        <v>148</v>
      </c>
      <c r="E192" s="9">
        <f t="shared" si="30"/>
        <v>60</v>
      </c>
      <c r="F192" s="10">
        <f t="shared" si="31"/>
        <v>0.68181818181818177</v>
      </c>
      <c r="G192" s="11">
        <v>5396.16</v>
      </c>
      <c r="H192" s="11">
        <v>9075.36</v>
      </c>
      <c r="I192" s="12">
        <f t="shared" si="32"/>
        <v>3679.2000000000007</v>
      </c>
      <c r="J192" s="11">
        <f t="shared" si="33"/>
        <v>61.32</v>
      </c>
      <c r="K192" s="11">
        <f t="shared" si="34"/>
        <v>61.320000000000007</v>
      </c>
      <c r="L192" s="12">
        <f t="shared" si="35"/>
        <v>7.1054273576010019E-15</v>
      </c>
      <c r="M192" s="8">
        <v>1</v>
      </c>
      <c r="N192" s="13">
        <v>1</v>
      </c>
    </row>
    <row r="193" spans="1:14" ht="23.1" customHeight="1">
      <c r="A193" s="6" t="s">
        <v>17</v>
      </c>
      <c r="B193" s="7" t="s">
        <v>294</v>
      </c>
      <c r="C193" s="8">
        <v>127</v>
      </c>
      <c r="D193" s="8">
        <v>183</v>
      </c>
      <c r="E193" s="9">
        <f t="shared" si="30"/>
        <v>56</v>
      </c>
      <c r="F193" s="10">
        <f t="shared" si="31"/>
        <v>0.44094488188976377</v>
      </c>
      <c r="G193" s="11">
        <v>103883.96</v>
      </c>
      <c r="H193" s="11">
        <v>161838.53</v>
      </c>
      <c r="I193" s="12">
        <f t="shared" si="32"/>
        <v>57954.569999999992</v>
      </c>
      <c r="J193" s="11">
        <f t="shared" si="33"/>
        <v>817.98393700787403</v>
      </c>
      <c r="K193" s="11">
        <f t="shared" si="34"/>
        <v>884.36355191256825</v>
      </c>
      <c r="L193" s="12">
        <f t="shared" si="35"/>
        <v>66.379614904694222</v>
      </c>
      <c r="M193" s="8">
        <v>11</v>
      </c>
      <c r="N193" s="13">
        <v>11</v>
      </c>
    </row>
    <row r="194" spans="1:14" ht="23.1" customHeight="1">
      <c r="A194" s="6" t="s">
        <v>17</v>
      </c>
      <c r="B194" s="7" t="s">
        <v>295</v>
      </c>
      <c r="C194" s="8">
        <v>0</v>
      </c>
      <c r="D194" s="8">
        <v>9</v>
      </c>
      <c r="E194" s="9">
        <f t="shared" si="30"/>
        <v>9</v>
      </c>
      <c r="F194" s="10" t="str">
        <f t="shared" si="31"/>
        <v/>
      </c>
      <c r="G194" s="11">
        <v>0</v>
      </c>
      <c r="H194" s="11">
        <v>4687.29</v>
      </c>
      <c r="I194" s="12">
        <f t="shared" si="32"/>
        <v>4687.29</v>
      </c>
      <c r="J194" s="11" t="str">
        <f t="shared" si="33"/>
        <v/>
      </c>
      <c r="K194" s="11">
        <f t="shared" si="34"/>
        <v>520.80999999999995</v>
      </c>
      <c r="L194" s="12" t="str">
        <f t="shared" si="35"/>
        <v/>
      </c>
      <c r="M194" s="8">
        <v>0</v>
      </c>
      <c r="N194" s="13">
        <v>1</v>
      </c>
    </row>
    <row r="195" spans="1:14" ht="23.1" customHeight="1">
      <c r="A195" s="6" t="s">
        <v>17</v>
      </c>
      <c r="B195" s="7" t="s">
        <v>253</v>
      </c>
      <c r="C195" s="8">
        <v>93</v>
      </c>
      <c r="D195" s="8">
        <v>86</v>
      </c>
      <c r="E195" s="9">
        <f t="shared" si="30"/>
        <v>-7</v>
      </c>
      <c r="F195" s="10">
        <f t="shared" si="31"/>
        <v>-7.5268817204301078E-2</v>
      </c>
      <c r="G195" s="11">
        <v>62142.02</v>
      </c>
      <c r="H195" s="11">
        <v>59030.62</v>
      </c>
      <c r="I195" s="12">
        <f t="shared" si="32"/>
        <v>-3111.3999999999942</v>
      </c>
      <c r="J195" s="11">
        <f t="shared" si="33"/>
        <v>668.19376344086015</v>
      </c>
      <c r="K195" s="11">
        <f t="shared" si="34"/>
        <v>686.4025581395349</v>
      </c>
      <c r="L195" s="12">
        <f t="shared" si="35"/>
        <v>18.208794698674751</v>
      </c>
      <c r="M195" s="8">
        <v>11</v>
      </c>
      <c r="N195" s="13">
        <v>12</v>
      </c>
    </row>
    <row r="196" spans="1:14" ht="23.1" customHeight="1">
      <c r="A196" s="14" t="s">
        <v>17</v>
      </c>
      <c r="B196" s="15" t="s">
        <v>147</v>
      </c>
      <c r="C196" s="16">
        <v>1</v>
      </c>
      <c r="D196" s="16">
        <v>0</v>
      </c>
      <c r="E196" s="17">
        <f t="shared" si="30"/>
        <v>-1</v>
      </c>
      <c r="F196" s="18">
        <f t="shared" si="31"/>
        <v>-1</v>
      </c>
      <c r="G196" s="19">
        <v>520.80999999999995</v>
      </c>
      <c r="H196" s="19">
        <v>0</v>
      </c>
      <c r="I196" s="20">
        <f t="shared" si="32"/>
        <v>-520.80999999999995</v>
      </c>
      <c r="J196" s="19">
        <f t="shared" si="33"/>
        <v>520.80999999999995</v>
      </c>
      <c r="K196" s="19" t="str">
        <f t="shared" si="34"/>
        <v/>
      </c>
      <c r="L196" s="20" t="str">
        <f t="shared" si="35"/>
        <v/>
      </c>
      <c r="M196" s="16">
        <v>1</v>
      </c>
      <c r="N196" s="21">
        <v>0</v>
      </c>
    </row>
  </sheetData>
  <mergeCells count="1">
    <mergeCell ref="A1:N1"/>
  </mergeCells>
  <conditionalFormatting sqref="E5:E196">
    <cfRule type="cellIs" dxfId="13" priority="1" operator="greaterThan">
      <formula>0</formula>
    </cfRule>
    <cfRule type="cellIs" dxfId="12" priority="2" operator="lessThan">
      <formula>0</formula>
    </cfRule>
  </conditionalFormatting>
  <conditionalFormatting sqref="I5:I196">
    <cfRule type="cellIs" dxfId="11" priority="3" operator="greaterThan">
      <formula>0</formula>
    </cfRule>
    <cfRule type="cellIs" dxfId="10" priority="4" operator="lessThan">
      <formula>0</formula>
    </cfRule>
  </conditionalFormatting>
  <conditionalFormatting sqref="L5:L196">
    <cfRule type="cellIs" dxfId="9" priority="5" operator="greaterThan">
      <formula>0</formula>
    </cfRule>
    <cfRule type="cellIs" dxfId="8" priority="6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U28"/>
  <sheetViews>
    <sheetView showGridLines="0" tabSelected="1" workbookViewId="0">
      <selection activeCell="E3" sqref="E3"/>
    </sheetView>
  </sheetViews>
  <sheetFormatPr defaultRowHeight="14.25"/>
  <cols>
    <col min="1" max="1" width="38" customWidth="1"/>
    <col min="2" max="2" width="15" customWidth="1"/>
    <col min="3" max="3" width="16" customWidth="1"/>
    <col min="4" max="4" width="14" customWidth="1"/>
    <col min="5" max="5" width="12" customWidth="1"/>
    <col min="6" max="6" width="21.125" bestFit="1" customWidth="1"/>
    <col min="7" max="8" width="13" customWidth="1"/>
    <col min="9" max="9" width="14" customWidth="1"/>
    <col min="10" max="10" width="18" customWidth="1"/>
    <col min="11" max="11" width="16" customWidth="1"/>
    <col min="12" max="12" width="3" customWidth="1"/>
    <col min="13" max="21" width="12" customWidth="1"/>
  </cols>
  <sheetData>
    <row r="1" spans="1:21" ht="30" customHeight="1">
      <c r="A1" s="65" t="s">
        <v>296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</row>
    <row r="2" spans="1:21" ht="24.95" customHeight="1">
      <c r="A2" s="66" t="s">
        <v>321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 spans="1:2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3" t="s">
        <v>297</v>
      </c>
      <c r="B5" s="4" t="s">
        <v>298</v>
      </c>
      <c r="C5" s="4" t="s">
        <v>299</v>
      </c>
      <c r="D5" s="4" t="s">
        <v>4</v>
      </c>
      <c r="E5" s="4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33.950000000000003" customHeight="1">
      <c r="A6" s="6" t="s">
        <v>300</v>
      </c>
      <c r="B6" s="8">
        <v>5614</v>
      </c>
      <c r="C6" s="8">
        <v>6291</v>
      </c>
      <c r="D6" s="8">
        <f>C6-B6</f>
        <v>677</v>
      </c>
      <c r="E6" s="10">
        <f>IF(B6=0,"",D6/B6)</f>
        <v>0.12059137869611684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1" ht="33.950000000000003" customHeight="1">
      <c r="A7" s="6" t="s">
        <v>301</v>
      </c>
      <c r="B7" s="11">
        <v>3020954.74</v>
      </c>
      <c r="C7" s="11">
        <v>3010961.88</v>
      </c>
      <c r="D7" s="11">
        <f>C7-B7</f>
        <v>-9992.8600000003353</v>
      </c>
      <c r="E7" s="10">
        <f>IF(B7=0,"",D7/B7)</f>
        <v>-3.3078482996406408E-3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1" ht="33.950000000000003" customHeight="1">
      <c r="A8" s="14" t="s">
        <v>302</v>
      </c>
      <c r="B8" s="19">
        <v>538.1109262557892</v>
      </c>
      <c r="C8" s="19">
        <v>478.61419170243204</v>
      </c>
      <c r="D8" s="19">
        <f>C8-B8</f>
        <v>-59.496734553357157</v>
      </c>
      <c r="E8" s="18">
        <f>IF(B8=0,"",D8/B8)</f>
        <v>-0.11056592916137069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24" customHeight="1">
      <c r="A11" s="74" t="s">
        <v>303</v>
      </c>
      <c r="B11" s="75"/>
      <c r="C11" s="75"/>
      <c r="D11" s="75"/>
      <c r="E11" s="75"/>
      <c r="F11" s="75"/>
      <c r="G11" s="75"/>
      <c r="H11" s="75"/>
      <c r="I11" s="75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3" t="s">
        <v>304</v>
      </c>
      <c r="B12" s="4" t="s">
        <v>305</v>
      </c>
      <c r="C12" s="4" t="s">
        <v>306</v>
      </c>
      <c r="D12" s="4" t="s">
        <v>307</v>
      </c>
      <c r="E12" s="4" t="s">
        <v>301</v>
      </c>
      <c r="F12" s="4" t="s">
        <v>308</v>
      </c>
      <c r="G12" s="4" t="s">
        <v>309</v>
      </c>
      <c r="H12" s="4" t="s">
        <v>310</v>
      </c>
      <c r="I12" s="5" t="s">
        <v>311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1">
      <c r="A13" s="6" t="s">
        <v>23</v>
      </c>
      <c r="B13" s="7" t="s">
        <v>312</v>
      </c>
      <c r="C13" s="7" t="s">
        <v>313</v>
      </c>
      <c r="D13" s="8">
        <v>1289</v>
      </c>
      <c r="E13" s="11">
        <v>659663.98</v>
      </c>
      <c r="F13" s="11">
        <v>511.76414274631497</v>
      </c>
      <c r="G13" s="8">
        <v>14</v>
      </c>
      <c r="H13" s="8">
        <v>27</v>
      </c>
      <c r="I13" s="13">
        <v>112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1">
      <c r="A14" s="6" t="s">
        <v>23</v>
      </c>
      <c r="B14" s="7" t="s">
        <v>312</v>
      </c>
      <c r="C14" s="7" t="s">
        <v>314</v>
      </c>
      <c r="D14" s="8">
        <v>1728</v>
      </c>
      <c r="E14" s="11">
        <v>1020733.42</v>
      </c>
      <c r="F14" s="11">
        <v>590.70221064814814</v>
      </c>
      <c r="G14" s="8">
        <v>16</v>
      </c>
      <c r="H14" s="8">
        <v>25</v>
      </c>
      <c r="I14" s="13">
        <v>151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1">
      <c r="A15" s="6" t="s">
        <v>23</v>
      </c>
      <c r="B15" s="7" t="s">
        <v>312</v>
      </c>
      <c r="C15" s="7" t="s">
        <v>315</v>
      </c>
      <c r="D15" s="8">
        <v>1400</v>
      </c>
      <c r="E15" s="11">
        <v>738490.69</v>
      </c>
      <c r="F15" s="11">
        <v>527.49334999999996</v>
      </c>
      <c r="G15" s="8">
        <v>11</v>
      </c>
      <c r="H15" s="8">
        <v>30</v>
      </c>
      <c r="I15" s="13">
        <v>105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1">
      <c r="A16" s="6" t="s">
        <v>23</v>
      </c>
      <c r="B16" s="7" t="s">
        <v>312</v>
      </c>
      <c r="C16" s="7" t="s">
        <v>316</v>
      </c>
      <c r="D16" s="8">
        <v>1197</v>
      </c>
      <c r="E16" s="11">
        <v>602066.65</v>
      </c>
      <c r="F16" s="11">
        <v>502.97965747702591</v>
      </c>
      <c r="G16" s="8">
        <v>12</v>
      </c>
      <c r="H16" s="8">
        <v>27</v>
      </c>
      <c r="I16" s="13">
        <v>89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1">
      <c r="A17" s="14" t="s">
        <v>24</v>
      </c>
      <c r="B17" s="15" t="s">
        <v>317</v>
      </c>
      <c r="C17" s="15" t="s">
        <v>16</v>
      </c>
      <c r="D17" s="16">
        <v>6291</v>
      </c>
      <c r="E17" s="19">
        <v>3010961.88</v>
      </c>
      <c r="F17" s="19">
        <v>478.61419170243204</v>
      </c>
      <c r="G17" s="16">
        <v>43</v>
      </c>
      <c r="H17" s="16">
        <v>37</v>
      </c>
      <c r="I17" s="21">
        <v>355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24" customHeight="1">
      <c r="A20" s="68" t="s">
        <v>318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38.25">
      <c r="A21" s="3" t="s">
        <v>69</v>
      </c>
      <c r="B21" s="4" t="s">
        <v>38</v>
      </c>
      <c r="C21" s="4" t="s">
        <v>39</v>
      </c>
      <c r="D21" s="4" t="s">
        <v>4</v>
      </c>
      <c r="E21" s="4" t="s">
        <v>5</v>
      </c>
      <c r="F21" s="4" t="s">
        <v>6</v>
      </c>
      <c r="G21" s="4" t="s">
        <v>7</v>
      </c>
      <c r="H21" s="4" t="s">
        <v>8</v>
      </c>
      <c r="I21" s="4" t="s">
        <v>9</v>
      </c>
      <c r="J21" s="4" t="s">
        <v>10</v>
      </c>
      <c r="K21" s="5" t="s">
        <v>11</v>
      </c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33.950000000000003" customHeight="1">
      <c r="A22" s="22" t="s">
        <v>70</v>
      </c>
      <c r="B22" s="8">
        <v>1141</v>
      </c>
      <c r="C22" s="8">
        <v>968</v>
      </c>
      <c r="D22" s="9">
        <f t="shared" ref="D22:D28" si="0">C22-B22</f>
        <v>-173</v>
      </c>
      <c r="E22" s="10">
        <f t="shared" ref="E22:E28" si="1">IF(B22=0,"",D22/B22)</f>
        <v>-0.15162138475021911</v>
      </c>
      <c r="F22" s="11">
        <v>755841.79</v>
      </c>
      <c r="G22" s="11">
        <v>627893.62</v>
      </c>
      <c r="H22" s="12">
        <f t="shared" ref="H22:H28" si="2">G22-F22</f>
        <v>-127948.17000000004</v>
      </c>
      <c r="I22" s="11">
        <f t="shared" ref="I22:J28" si="3">IF(B22=0,"",F22/B22)</f>
        <v>662.43802804557413</v>
      </c>
      <c r="J22" s="11">
        <f t="shared" si="3"/>
        <v>648.65043388429751</v>
      </c>
      <c r="K22" s="25">
        <f t="shared" ref="K22:K28" si="4">IF(OR(I22="",J22=""),"",J22-I22)</f>
        <v>-13.787594161276616</v>
      </c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33.950000000000003" customHeight="1">
      <c r="A23" s="22" t="s">
        <v>71</v>
      </c>
      <c r="B23" s="8">
        <v>89</v>
      </c>
      <c r="C23" s="8">
        <v>70</v>
      </c>
      <c r="D23" s="9">
        <f t="shared" si="0"/>
        <v>-19</v>
      </c>
      <c r="E23" s="10">
        <f t="shared" si="1"/>
        <v>-0.21348314606741572</v>
      </c>
      <c r="F23" s="11">
        <v>99651.199999999997</v>
      </c>
      <c r="G23" s="11">
        <v>94527.91</v>
      </c>
      <c r="H23" s="12">
        <f t="shared" si="2"/>
        <v>-5123.2899999999936</v>
      </c>
      <c r="I23" s="11">
        <f t="shared" si="3"/>
        <v>1119.676404494382</v>
      </c>
      <c r="J23" s="11">
        <f t="shared" si="3"/>
        <v>1350.3987142857143</v>
      </c>
      <c r="K23" s="25">
        <f t="shared" si="4"/>
        <v>230.72230979133224</v>
      </c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33.950000000000003" customHeight="1">
      <c r="A24" s="22" t="s">
        <v>72</v>
      </c>
      <c r="B24" s="8">
        <v>1511</v>
      </c>
      <c r="C24" s="8">
        <v>1621</v>
      </c>
      <c r="D24" s="9">
        <f t="shared" si="0"/>
        <v>110</v>
      </c>
      <c r="E24" s="10">
        <f t="shared" si="1"/>
        <v>7.2799470549305093E-2</v>
      </c>
      <c r="F24" s="11">
        <v>192025.86</v>
      </c>
      <c r="G24" s="11">
        <v>207926.34</v>
      </c>
      <c r="H24" s="12">
        <f t="shared" si="2"/>
        <v>15900.48000000001</v>
      </c>
      <c r="I24" s="11">
        <f t="shared" si="3"/>
        <v>127.08528127068166</v>
      </c>
      <c r="J24" s="11">
        <f t="shared" si="3"/>
        <v>128.27041332510797</v>
      </c>
      <c r="K24" s="25">
        <f t="shared" si="4"/>
        <v>1.1851320544263046</v>
      </c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33.950000000000003" customHeight="1">
      <c r="A25" s="22" t="s">
        <v>73</v>
      </c>
      <c r="B25" s="8">
        <v>1432</v>
      </c>
      <c r="C25" s="8">
        <v>1494</v>
      </c>
      <c r="D25" s="9">
        <f t="shared" si="0"/>
        <v>62</v>
      </c>
      <c r="E25" s="10">
        <f t="shared" si="1"/>
        <v>4.3296089385474863E-2</v>
      </c>
      <c r="F25" s="11">
        <v>655739.76</v>
      </c>
      <c r="G25" s="11">
        <v>686495.26</v>
      </c>
      <c r="H25" s="12">
        <f t="shared" si="2"/>
        <v>30755.5</v>
      </c>
      <c r="I25" s="11">
        <f t="shared" si="3"/>
        <v>457.91882681564249</v>
      </c>
      <c r="J25" s="11">
        <f t="shared" si="3"/>
        <v>459.5015127175368</v>
      </c>
      <c r="K25" s="25">
        <f t="shared" si="4"/>
        <v>1.5826859018943082</v>
      </c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33.950000000000003" customHeight="1">
      <c r="A26" s="22" t="s">
        <v>74</v>
      </c>
      <c r="B26" s="8">
        <v>421</v>
      </c>
      <c r="C26" s="8">
        <v>368</v>
      </c>
      <c r="D26" s="9">
        <f t="shared" si="0"/>
        <v>-53</v>
      </c>
      <c r="E26" s="10">
        <f t="shared" si="1"/>
        <v>-0.12589073634204276</v>
      </c>
      <c r="F26" s="11">
        <v>1045950.66</v>
      </c>
      <c r="G26" s="11">
        <v>912744.92</v>
      </c>
      <c r="H26" s="12">
        <f t="shared" si="2"/>
        <v>-133205.74</v>
      </c>
      <c r="I26" s="11">
        <f t="shared" si="3"/>
        <v>2484.4433729216153</v>
      </c>
      <c r="J26" s="11">
        <f t="shared" si="3"/>
        <v>2480.2851086956521</v>
      </c>
      <c r="K26" s="25">
        <f t="shared" si="4"/>
        <v>-4.1582642259631939</v>
      </c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33.950000000000003" customHeight="1">
      <c r="A27" s="22" t="s">
        <v>75</v>
      </c>
      <c r="B27" s="8">
        <v>1018</v>
      </c>
      <c r="C27" s="8">
        <v>1770</v>
      </c>
      <c r="D27" s="9">
        <f t="shared" si="0"/>
        <v>752</v>
      </c>
      <c r="E27" s="10">
        <f t="shared" si="1"/>
        <v>0.73870333988212178</v>
      </c>
      <c r="F27" s="11">
        <v>271641.51</v>
      </c>
      <c r="G27" s="11">
        <v>481373.83</v>
      </c>
      <c r="H27" s="12">
        <f t="shared" si="2"/>
        <v>209732.32</v>
      </c>
      <c r="I27" s="11">
        <f t="shared" si="3"/>
        <v>266.83841846758349</v>
      </c>
      <c r="J27" s="11">
        <f t="shared" si="3"/>
        <v>271.96261581920908</v>
      </c>
      <c r="K27" s="25">
        <f t="shared" si="4"/>
        <v>5.1241973516255825</v>
      </c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33.950000000000003" customHeight="1">
      <c r="A28" s="26" t="s">
        <v>76</v>
      </c>
      <c r="B28" s="16">
        <v>2</v>
      </c>
      <c r="C28" s="16">
        <v>0</v>
      </c>
      <c r="D28" s="17">
        <f t="shared" si="0"/>
        <v>-2</v>
      </c>
      <c r="E28" s="18">
        <f t="shared" si="1"/>
        <v>-1</v>
      </c>
      <c r="F28" s="19">
        <v>103.96</v>
      </c>
      <c r="G28" s="19">
        <v>0</v>
      </c>
      <c r="H28" s="20">
        <f t="shared" si="2"/>
        <v>-103.96</v>
      </c>
      <c r="I28" s="19">
        <f t="shared" si="3"/>
        <v>51.98</v>
      </c>
      <c r="J28" s="19" t="str">
        <f t="shared" si="3"/>
        <v/>
      </c>
      <c r="K28" s="29" t="str">
        <f t="shared" si="4"/>
        <v/>
      </c>
      <c r="L28" s="1"/>
      <c r="M28" s="1"/>
      <c r="N28" s="1"/>
      <c r="O28" s="1"/>
      <c r="P28" s="1"/>
      <c r="Q28" s="1"/>
      <c r="R28" s="1"/>
      <c r="S28" s="1"/>
      <c r="T28" s="1"/>
      <c r="U28" s="1"/>
    </row>
  </sheetData>
  <mergeCells count="4">
    <mergeCell ref="A1:U1"/>
    <mergeCell ref="A2:U2"/>
    <mergeCell ref="A20:K20"/>
    <mergeCell ref="A11:I11"/>
  </mergeCells>
  <conditionalFormatting sqref="D6:D8">
    <cfRule type="cellIs" dxfId="7" priority="1" operator="greaterThan">
      <formula>0</formula>
    </cfRule>
    <cfRule type="cellIs" dxfId="6" priority="2" operator="lessThan">
      <formula>0</formula>
    </cfRule>
  </conditionalFormatting>
  <conditionalFormatting sqref="D22:D28">
    <cfRule type="cellIs" dxfId="5" priority="3" operator="greaterThan">
      <formula>0</formula>
    </cfRule>
    <cfRule type="cellIs" dxfId="4" priority="4" operator="lessThan">
      <formula>0</formula>
    </cfRule>
  </conditionalFormatting>
  <conditionalFormatting sqref="H22:H28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K22:K28">
    <cfRule type="cellIs" dxfId="1" priority="7" operator="greaterThan">
      <formula>0</formula>
    </cfRule>
    <cfRule type="cellIs" dxfId="0" priority="8" operator="lessThan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Коротко</vt:lpstr>
      <vt:lpstr>Подразделения</vt:lpstr>
      <vt:lpstr>Главные изменения</vt:lpstr>
      <vt:lpstr>Все услуги</vt:lpstr>
      <vt:lpstr>По врачам</vt:lpstr>
      <vt:lpstr>Планетная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Долматов Юрий Владимирович</dc:creator>
  <cp:lastModifiedBy>Сергеев Алексей Андреевич</cp:lastModifiedBy>
  <dcterms:created xsi:type="dcterms:W3CDTF">2026-09-24T13:39:49Z</dcterms:created>
  <dcterms:modified xsi:type="dcterms:W3CDTF">2026-09-29T08:55:51Z</dcterms:modified>
</cp:coreProperties>
</file>